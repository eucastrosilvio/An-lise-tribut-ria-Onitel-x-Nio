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fae\Downloads\"/>
    </mc:Choice>
  </mc:AlternateContent>
  <xr:revisionPtr revIDLastSave="0" documentId="13_ncr:1_{39EBF266-BF8C-41E3-A844-AC5BCE44CD36}" xr6:coauthVersionLast="47" xr6:coauthVersionMax="47" xr10:uidLastSave="{00000000-0000-0000-0000-000000000000}"/>
  <bookViews>
    <workbookView xWindow="-108" yWindow="-108" windowWidth="23256" windowHeight="12456" xr2:uid="{C5A41E12-3CAA-41DA-9CDE-58C4414868FD}"/>
  </bookViews>
  <sheets>
    <sheet name="Planilha2" sheetId="3" r:id="rId1"/>
    <sheet name="Bens Ativos - 03-2026 - Onitel" sheetId="2" r:id="rId2"/>
  </sheets>
  <definedNames>
    <definedName name="DadosExternos_1" localSheetId="1" hidden="1">'Bens Ativos - 03-2026 - Onitel'!$A$1:$W$155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C006B0-14D3-49E1-99FC-E7CE879E9B9C}" keepAlive="1" name="Consulta - Bens Ativos - 03-2026 - Onitel" description="Conexão com a consulta 'Bens Ativos - 03-2026 - Onitel' na pasta de trabalho." type="5" refreshedVersion="8" background="1" saveData="1">
    <dbPr connection="Provider=Microsoft.Mashup.OleDb.1;Data Source=$Workbook$;Location=&quot;Bens Ativos - 03-2026 - Onitel&quot;;Extended Properties=&quot;&quot;" command="SELECT * FROM [Bens Ativos - 03-2026 - Onitel]"/>
  </connection>
</connections>
</file>

<file path=xl/sharedStrings.xml><?xml version="1.0" encoding="utf-8"?>
<sst xmlns="http://schemas.openxmlformats.org/spreadsheetml/2006/main" count="488" uniqueCount="187">
  <si>
    <t>Estabelecimento</t>
  </si>
  <si>
    <t>Número Bem</t>
  </si>
  <si>
    <t>Adição</t>
  </si>
  <si>
    <t>Descrição</t>
  </si>
  <si>
    <t>Data Aquisição</t>
  </si>
  <si>
    <t>Conta Contábil</t>
  </si>
  <si>
    <t>Quantidade</t>
  </si>
  <si>
    <t>Percentual Encargo</t>
  </si>
  <si>
    <t>Valor</t>
  </si>
  <si>
    <t>Encargos Mês</t>
  </si>
  <si>
    <t>Total Encargos</t>
  </si>
  <si>
    <t>Residual</t>
  </si>
  <si>
    <t>Valor Societário</t>
  </si>
  <si>
    <t>Encargos Mês_1</t>
  </si>
  <si>
    <t>Total Encargos_2</t>
  </si>
  <si>
    <t>Residual_3</t>
  </si>
  <si>
    <t>Valor Justo</t>
  </si>
  <si>
    <t>Encargos Mês_4</t>
  </si>
  <si>
    <t>Total Encargos_5</t>
  </si>
  <si>
    <t>Residual_6</t>
  </si>
  <si>
    <t>Situação</t>
  </si>
  <si>
    <t>Número NF</t>
  </si>
  <si>
    <t>Fornecedor</t>
  </si>
  <si>
    <t>CORDAO MONOFIBRA CONECTORIZADO SM SC-APC/SC-UPC 2.5m - COG - AZUL</t>
  </si>
  <si>
    <t>Normal</t>
  </si>
  <si>
    <t>Lightera LatAm S.A.</t>
  </si>
  <si>
    <t>PONTO DE TERMINACAO OPTICO - PTO 8 (ROSETA) DP</t>
  </si>
  <si>
    <t>DC DISTRIBUIDORA DE EQUIPAMENTOS DE TELECOMUNICACO</t>
  </si>
  <si>
    <t>CONECTOR DE CAMPO TIPO FAST SC/APC - TIPO CLIQUE</t>
  </si>
  <si>
    <t>SKYTECH TELECOM INDUSTRIA E COMERCIO LTDA</t>
  </si>
  <si>
    <t>2FLEX CONECTOR SC/UPC 3 POSICOES</t>
  </si>
  <si>
    <t>BRASNET WEB INFORMATICA EIRELI</t>
  </si>
  <si>
    <t>CAIXA DE TERMINACAO OPTICA MONTADA COM SPLITTER SC-A</t>
  </si>
  <si>
    <t>PROQUALIT TELECOM LTDA</t>
  </si>
  <si>
    <t xml:space="preserve">CORDAO MONOFIBRA CONECTORIZADO SM BLIG-657A2 SC-APC/SC-UPC 2.5m(VALOR DO BEM R$ 624,76 + IPI R$ 93,71 )_x000D_
</t>
  </si>
  <si>
    <t/>
  </si>
  <si>
    <t>CONECTOR DE CAMPO TIPO FAST SC/UPC - TIPO CLIQUE</t>
  </si>
  <si>
    <t>FONTE 12V 1A ESTABILIZADA</t>
  </si>
  <si>
    <t>SOL - COMERCIO E SERVICOS DA TECNOLOGIA LTDA EPP</t>
  </si>
  <si>
    <t>ONU GPON WIFI AC1200 MBPS 2 ANTENAS ZTE F670L</t>
  </si>
  <si>
    <t>GRUPO MULTI S.A</t>
  </si>
  <si>
    <t>ONU GPON/EPON HIBRIDA MAXFIBER 1000G</t>
  </si>
  <si>
    <t>RIO BRANCO COM. E IND. DE PAPEIS LTDA</t>
  </si>
  <si>
    <t>ROTEADOR AC1200 MESH ZTE H199A</t>
  </si>
  <si>
    <t>ROTEADOR WIFI WS5200 V3 HUAWEI</t>
  </si>
  <si>
    <t>FIBERX TELECOM S.A.</t>
  </si>
  <si>
    <t>ONU GPON WIFI F680 AC2000 6 ANTENAS</t>
  </si>
  <si>
    <t>WIRELESS ROTEADOR LINK 4G AMPLIMAX FIT</t>
  </si>
  <si>
    <t>ROTEADOR WIRELESS RF 301K 300MBPS CKD</t>
  </si>
  <si>
    <t>ONU GPON WIFI AC1200 MBPS 2 ANTENAS ZTE F670L(VALOR DO BEM R$ 508.640,00 + IPI R$ 76.296,00)</t>
  </si>
  <si>
    <t>ROTEADOR CLOUD CORE MIKROTIK - CCR1072-1G-8S</t>
  </si>
  <si>
    <t>K F TECH COMERCIO VAREJISTA E ATACADISTA DE EQUIPA</t>
  </si>
  <si>
    <t>AC12G-ROTEADOR MERCUSYS AC1200 WRLESS D. BAND</t>
  </si>
  <si>
    <t>ONU ZTE GPON WIFI6 AX3000 F6600P ONITEL</t>
  </si>
  <si>
    <t>CORDAO MONOFIBRA CONECTORIZADO SM BLI G-657A2 LC-UPC/SC-APC 2.5m - LSZH - AZUL(VALOR DO BEM R$ 566,31+ IPI R$ 63,71 + DIFERENCIAL R$ 75,91 - CIAP R$ 1</t>
  </si>
  <si>
    <t>CAIXA DISTRIBUIDOR INTERNO OPTICO 8D - MONTADO COM S(VALOR DO BEM R$ 25.440,00 + DIFERENCIAL R$ 2.851,22 - CIAP R$ 4.507,78)</t>
  </si>
  <si>
    <t>ONU GPON WIFI AC1200 MBPS 2 ANTENAS ZTE F670L(VALOR DO BEM R$ 269.859,13 + DIFERENCIAL R$ 29.189,16 - CIAP R$ 46.169,06)</t>
  </si>
  <si>
    <t>ONU GPON BRIDGE ZTE F601V7.0(VALOR DO BEM R$ 42.467,69 + DIFERENCIAL R$ 4.599,18 - CIAP R$ 7.271,30)</t>
  </si>
  <si>
    <t>ONU GPON WIFI AC1200 MBPS 2 ANTENAS ZTE F670L(VALOR DO BEM R$ 39.739,90 + DIFERENCIAL R$ 4.303,77 - CIAP R$ 6.804,26)</t>
  </si>
  <si>
    <t>ONU GPON WIFI AC1200 MBPS 2 ANTENAS ZTE F670L(VALOR DO BEM R$ 226.970,85 + DIFERENCIAL R$ 24.580,57 -  CIAP R$ 38.861,88)</t>
  </si>
  <si>
    <t>CORDAO MONOFIBRA CONECTORIZADO SM BLI G-657A2 SC-APC/SC-UPC 2.5m - LSZH - AZUL(VALOR DO BEM R$ 210,92 + DIFERENCIAL R$ 25,41 - CIAP R$ 40,17)</t>
  </si>
  <si>
    <t>Furukawa Electric LatAm S.A.</t>
  </si>
  <si>
    <t>CORDAO MONOFIBRA CONECTORIZADO SM BLI G-657A2 SC-APC/SC-UPC 2.5m - LSZH - AZUL(VALOR DO BEM R$ 843,66 + DIFERENCIAL R$ 101,65 - CIAP R$ 160,71)</t>
  </si>
  <si>
    <t>ONU GPON WIFI AC1200 MBPS 2 ANTENAS ZTE F670L(VALOR DO BEM R$ 269.261,00 + DIFERENCIAL R$ 28.209,64 - CIAP R$ 44.599,44)</t>
  </si>
  <si>
    <t>*CONECTOR FAST SC/APC - SM (Q4) PARA FIBRA OPTICA NAZDA(VALOR DO BEM R$ 45.546,25 + DIFERENCIAL R$ 7.133,75 - CIAP R$ 8.955,60)</t>
  </si>
  <si>
    <t>DICOMP DISTRIBUIDORA DE ELETRONICOS LTDA</t>
  </si>
  <si>
    <t>3X1 SUPORTE DIELETRICO ROLDANA ANCORAGEM DROP SUPA (PARAFUSO)(VALOR DO BEM R$ 1.600,00 + DIFERENCIAL R$ 96,39 - CIAP R$ 96,39)</t>
  </si>
  <si>
    <t>GGS BRASILIA TELECOM LTDA</t>
  </si>
  <si>
    <t xml:space="preserve">ROTEADOR HUAWEI WIFI WS7001-40 AX2(VALOR DO BEM R$ 268,03 + DIFERENCIAL R$ 38,25 - CIAP R$ 48,02)_x000D_
_x000D_
_x000D_
</t>
  </si>
  <si>
    <t xml:space="preserve">ONU GPON WIFI AC1200 F670L V9.0(VALOR DO BEM R$ 276.745,50 + DIFERENCIAL R$ 29.971,08 - CIAP R$ 47.384,28)_x000D_
_x000D_
_x000D_
</t>
  </si>
  <si>
    <t>ROTEADOR HUAWEI WIFI WS7001-40 AX2(VALOR DO BEM R$ 43.780,37 + DIFERENCIAL R$ 6.247,99 - CIAP R$  7.843,63)</t>
  </si>
  <si>
    <t>Cabo de Fibra Optica Drop Compacto 1FO( VALOR DO BEM R$ 38.709,03 + DIFERENCIAL R$ 6.062,86 - CIAP R$ 7.611,22)</t>
  </si>
  <si>
    <t>OIW Industria Eletronica S.A. - Filial MT</t>
  </si>
  <si>
    <t>CONECTOR DE CAMPO SC/APC TIPO CLIQUE MODELO: CNSCAPC03( VALOR DO BEM R$ 49,94 + DIFERENCIAL R$ 3,01 - CIAP R$ 9,00)</t>
  </si>
  <si>
    <t>ONU GPON WIFI AC1200 F670L V9.0( VALOR DO BEM R$ 137.872,13 + DIFERENCIAL R$ 14.931,33 - CIAP R$ 23.606,43)</t>
  </si>
  <si>
    <t>CORDAO MONOFIBRA CONECTORIZADO SM BLI G-657A2 SC-APC/SC-UPC 2.5m - LSZH - AZUL(VALOR DO BEM R$ 764,76 + DIFERENCIAL R$ 92,14 - CIAP R$ 145,67)</t>
  </si>
  <si>
    <t>CORDAO MONOFIBRA CONECTORIZADO SM BLI G-657A2 SC-APC/SC-UPC 2.5m - LSZH - AZUL( VALOR  DO BEM R$ 254,92 + DIFERENCIAL R$ 30,71 - CIAP R$ 48,55)</t>
  </si>
  <si>
    <t>ONU GPON WIFI AC1200 F670L V9.0( VALOR NF 418.568,00 + DIF. ALQ. 45.330,23 - CIAP 71.667,09</t>
  </si>
  <si>
    <t>ONU GPON WIFI AC1200 F670L V9.0( VALOR DO BEM R$ 389.970,19 + DIFERENCIAL R$ 42.233,13 - CIAP R$ 66.770,58)</t>
  </si>
  <si>
    <t>CAIXA DE TERMINACAO OPTICA MONTADA COM SPLITTER SC-A (VLT BEM 13.700,00 - CIAP 2.609,60 + DIF DE ALIQ. 1.650,60)</t>
  </si>
  <si>
    <t>CORDAO MONOFIBRA CONECTORIZADO SM BLI G-657A2 LC-UPC/SC-APC 2.5m - LSZH - AZUL (VLT BEM 327,25 - CIAP 62,34  + DIF DE ALIQ 39,43)</t>
  </si>
  <si>
    <t>CORDAO MONOFIBRA CONECTORIZADO SM BLI G-657A2 LC-UPC/SC-APC 2.5m - LSZH - AZUL (VLT BEM 654,51 - CIAP 124,68 + DIF DE ALIQ 78,86)</t>
  </si>
  <si>
    <t>CORDAO MONOFIBRA CONECTORIZADO SM BLI G-657A2 SC-APC/SC-UPC 2.5m - LSZH - AZUL (VLT BEM 3.412,33 - CIAP 649,98 + DIF DE ALQ. 411,12)</t>
  </si>
  <si>
    <t>CORDAO MONOFIBRA CONECTORIZADO SM BLI G-657A2 SC-APC/SC-APC 2.5m - LSZH - AZUL (VLT BEM 985,38 - CIAP 187,70 + DIF DE ALIQ. 118,72)</t>
  </si>
  <si>
    <t>Modulo Eletrico tipo SFP, ETH, 1.25G, com conector tipo RJ45 (VLT BEM 1.588,37 - CIAP 302,56 + DIF DE ALIQ 191,37)</t>
  </si>
  <si>
    <t>TERACOM TELEMATICA S.A.</t>
  </si>
  <si>
    <t>2FLEX SPLITTER BALANCEADO 1X2 S/CONECTOR (VLT BEM 1.195,00 - CIAP 83,66)</t>
  </si>
  <si>
    <t>BRASNET WEB INFORMATICA LTDA</t>
  </si>
  <si>
    <t>2FLEX DIO 72FO COMPLETO CONECTOR SC/APC (VLT BEM 2.328,00 - CIAP 162,97)</t>
  </si>
  <si>
    <t>3X1 SUPORTE DIELETRICO ROLDANA ANCORAGEM DROP SUPA (VLT BEM 820,00 - CIAP 139,40)</t>
  </si>
  <si>
    <t>WR-ATACADO E DISTRIBUIDORA EIRELI</t>
  </si>
  <si>
    <t>ONU GPON WIFI AC1200 F670L V9.0 (VLT BEM 370.622,70 - CIAP 70.596,93 + DIF DE ALIQ. 44.653,34)</t>
  </si>
  <si>
    <t>ONU GPON WIFI AC1200 F670L V9.0 (VLT BEM 389.970,19 - CIAP 74.282,27 + DIF DE ALIQ. 46.984,36)</t>
  </si>
  <si>
    <t>CORDAO MONOFIBRA CONECTORIZADO SM BLI G-657A2 SC-APC/SC-UPC 2.5m - LSZH - AZUL (VLT BEM 6.003,12 - CIAP 1.143,49 + DIF DE ALQ 723,27)</t>
  </si>
  <si>
    <t>HK CONECTOR FAST SC/APC CLICK 2F (KG53) (VLT BEM 4.499,75 - CIAP 451,03)</t>
  </si>
  <si>
    <t>ONU ZTE GPON WIFI6 AX3000 F6600P (VLT BEM 201.324,68 - CIAP 38.348,72 + DIF DE ALIQ. 24.255,99)</t>
  </si>
  <si>
    <t>ONU GPON WIFI AC1200 F670L V9.0 (VLT BEM 281.195,50 - CIAP 53.562,67 + DIF DE ALIQ 33.878,98)</t>
  </si>
  <si>
    <t>onu nf 32</t>
  </si>
  <si>
    <t>Baixa/Perdido</t>
  </si>
  <si>
    <t>HK CONECTOR FAST SC/APC CLICK 2F (KG53) (VLT BEM 22.498,75 - CIAP 2.255,14)</t>
  </si>
  <si>
    <t>OLT FONTE/RETIFICADORA HUAWEI (30A)  ETP4830-A1 (VLT BEM 12.600,00 + CIAP 882,08)</t>
  </si>
  <si>
    <t>GW WIRELLES LTDA</t>
  </si>
  <si>
    <t>CONECTOR RAPIDO (NAZDA) (SC/APC) (Q4) CLICK (10UN) (VLT BEM 45.000,00 - CIAP 4.510,25)</t>
  </si>
  <si>
    <t>FIBER TELECOM</t>
  </si>
  <si>
    <t>ONU GPON WIFI AC1200 F670L V9.0 (VLT BEM 399.665,63 - CIAP 27.977,39)</t>
  </si>
  <si>
    <t>CORDAO MONOFIBRA CONECTORIZADO SM BLI G-657A2 SC-APC/SC-UPC 2.5m - LSZH - AZUL (VLT BEM 660,08 - CIAP 125,74 + DIF DE ALIQ 79,53)</t>
  </si>
  <si>
    <t>CORDAO MONOFIBRA CONECTORIZADO SM BLI G-657A2 SC-APC/SC-APC 2.5m - LSZH - AZUL (VLT BEM 651,76 - CIAP 124,15 + DIF DE ALIQ 78,53)</t>
  </si>
  <si>
    <t>CORDAO MONOFIBRA CONECTORIZADO SM BLI G-657A2 LC-UPC/SC-APC 2.5m - LSZH - AZUL (VLT BEM 281,79 - CIAP 53,68 + DIF DE ALIQ 33,95)</t>
  </si>
  <si>
    <t>CORDAO MONOFIBRA CONECTORIZADO SM BLI G-657A2 LC-UPC/SC-APC 2.5m - LSZH - AZUL (VLT BEM 563,60 - CIAP 107,35 + DIF DE ALIQ 67,90)</t>
  </si>
  <si>
    <t>FERRAGEM CONJ. ESTICADOR FIO (DROP) FIG8 C/ GANCHO (VLT BEM 6.500,01  - CIAP 1.070,22)</t>
  </si>
  <si>
    <t>GW EIRELESS EIRELLI FILIAL IND</t>
  </si>
  <si>
    <t>CONECTOR RAPIDO (NAZDA) (SC/APC) (Q4) CLICK (10UN) (VLT BEM 36.000,00 - CIAP 6.120,00)</t>
  </si>
  <si>
    <t>CONECTOR RAPIDO (NAZDA) (SC/UPC)(Q4) CLICK  (10UN) (VLT BEM 4.500,00 - CIAP 697,04)</t>
  </si>
  <si>
    <t>ONU GPON WIFI AC1200 F670L V9.0 (VLT BEM 396.077,81 - CIAP 27.726,24)</t>
  </si>
  <si>
    <t>ONU GPON (ZTE) F670L (BRANCO) (VLT BEM 11.880,00 - CIAP 831,67)</t>
  </si>
  <si>
    <t>ONU GPON WIFI AC1200 F670L V9.0 ONITEL (VLT BEM 518.202,50 -  CIAP 36.275,21)</t>
  </si>
  <si>
    <t>ONU GPON (FIBERHOME) 5506/01A (PRETA) BRIDGE MINI (VLT BEM 12.000,00 - CIAP 840,07)</t>
  </si>
  <si>
    <t>ROTEADOR AC1200 MESH ZTE H199A ONITEL (VLT BEM 94.725,50 - CIAP 6.630,97)</t>
  </si>
  <si>
    <t>ONU GPON WIFI AC1200 F670L V9.0 ONITEL (VLT BEM 264,786,13 - CIAP 18.535,56)</t>
  </si>
  <si>
    <t>ONU ZTE GPON WIFI6 AX3000 F6600P ONITEL (VLT BEM 271.806,00 - CIAP 19.026,96)</t>
  </si>
  <si>
    <t>ONU GPON WIFI AC1200 F670L V9.0 ONITEL (VLT BEM 264.786,13 - CIAP 18.535,56)</t>
  </si>
  <si>
    <t>ONT GPON WIFI AC (FIBERHOME) HG6143D 4GE 1POTS 1200MBPS (VLT BEM 1.345,00 - CIAP 94,16)</t>
  </si>
  <si>
    <t>CONECTOR RAPIDO (NAZDA) (SC/APC) (Q4) CLICK (10UN) (VLT BEM 45.000,000 - CIAP 7.650,00)</t>
  </si>
  <si>
    <t>ONU ZTE GPON WIFI6 AX3000 F6600P ONITEL (VLT BEM 11.254,45 - CIAP 787,83)</t>
  </si>
  <si>
    <t>ONU ZTE GPON WIFI6 AX3000 F6600P ONITEL (VLT BEM 284.915,30 - CIAP 19.944,64)</t>
  </si>
  <si>
    <t>FERRAGEM CONJ. (TGL) ESTICADOR FIO (DROP) FIG8 PRETO (VLT BEM 1.800,00 - CIAP 306,00)</t>
  </si>
  <si>
    <t>CONECTOR RAPIDO (NAZDA) (SC/APC) (Q4) CLICK (10UN) (VLT BEM 31.500,00 - CIAP 4.879,27)</t>
  </si>
  <si>
    <t>ONU ZTE GPON WIFI6 AX3000 F6600P ONITEL (VLT BEM 59.314,05 - CIAP 4.152,10)</t>
  </si>
  <si>
    <t>ONU ZTE GPON WIFI6 AX3000 F6600P ONITEL (VLT BEM 237,256,20 - CIAP 16.608,41)</t>
  </si>
  <si>
    <t>ONU ZTE GPON WIFI6 AX3000 F6600P ONITEL (VLT BEM 485.618,06 - CIAP 33.994,24)</t>
  </si>
  <si>
    <t>CONECTOR RAPIDO (NAZDA) (SC/APC) (Q4) CLICK (10UN) (VLT BEM 13.500,00 - CIAP 2.295,00)</t>
  </si>
  <si>
    <t>CORDAO MONOFIBRA CONECTORIZADO SM BLI G-657A2 LC-UPC/SC-APC 2.5m - LSZH - AZUL (VLT BEM 1.158,08 - CIAP 220,60 + DIF DE ALIQ 139,53)</t>
  </si>
  <si>
    <t>CORDAO MONOFIBRA CONECTORIZADO SM BLI G-657A2 SC-APC/SC-UPC 2.5m - LSZH - AZUL (VLT BEM 567,05 - CIAP 108,01 + DIF DE ALIQ 68,32)</t>
  </si>
  <si>
    <t>ONU ZTE GPON WIFI6 AX3000 F6600P ONITEL (VLT BEM 296.470,13 - CIAP 20.753,50)</t>
  </si>
  <si>
    <t>ONU ZTE GPON WIFI6 AX3000 F6600P ONITEL (VLT BEM 506.315,44 - CIAP 35.443,09)</t>
  </si>
  <si>
    <t>ONU ZTE GPON WIFI6 AX3000 F660P ONITEL</t>
  </si>
  <si>
    <t>ONU ZTE GPON WIFI6 AX3000 F6600P ONITEL (VLT BEM 627.831,14 - CIAP 43.949,44)</t>
  </si>
  <si>
    <t>CORDAO MONOFIBRA CONECTORIZADO SM BLI G-657A2 SC-APC/SC-UPC 2.5m - LSZH - AZUL (VLT BEM 1.084,93  - CIAP 206,66 + DIF DE ALIQ 130,71)</t>
  </si>
  <si>
    <t>CORDAO MONOFIBRA CONECTORIZADO SM BLI G-657A2 SC-APC/SC-UPC 2.5m - LSZH - AZUL (VLT BEM 1.084,93 - CIAP 206,66 + DIF DE ALIQ 130,71)</t>
  </si>
  <si>
    <t>CONECTOR RAPIDO (NAZDA) (SC/APC) (Q4) CLICK (10UN) (VLT BEM 27.000,00 - CIAP 4.674,26)</t>
  </si>
  <si>
    <t>ONU ZTE GPON WIFI6 AX3000 F6600P ONITEL (VLT BEM 13.501,75 - CIAP 945,15)</t>
  </si>
  <si>
    <t>ONU ZTE GPON WIFI6 AX3000 F6600P ONITEL (VLT BEM 13.767,86 - CIAP 963,78)</t>
  </si>
  <si>
    <t>ONU ZTE GPON WIFI6 AX3000 F6600P ONITEL (VLT BEM 343.973,88 - CIAP 24.078,86)</t>
  </si>
  <si>
    <t>ONU ZTE GPON WIFI6 AX3000 F6600P ONITEL (VLT BEM 687.947,75 - CIAP 48.157,72)</t>
  </si>
  <si>
    <t>CONECTOR Q4 CLICK SC APC (VLT BEM 21.450,00 - CIAP 4.075,50)</t>
  </si>
  <si>
    <t>NETBIOS TELECOMUNICACOES EIRELI</t>
  </si>
  <si>
    <t>FONTE (UBIQUITI) POE 48 24W G BR INJECTOR 48VDC 24W 0.5AMP (VLT BEM 660,00 - CIAP 125,40)</t>
  </si>
  <si>
    <t>CONECTOR Q4 CLICK SC APC VLR PROD R$ 99.750,00 - CIAP R$ 18.952,50</t>
  </si>
  <si>
    <t>ONU ZTE GPON WIFI6 AX3000 F6600P ONITEL (VLR PROD. R$ 320.411,13 - CIAP R$ 22.429,42)</t>
  </si>
  <si>
    <t>ONU ZTE GPON WIFI6 AX3000 F6600P ONITEL VLR PROD. R$ 619.262,00 - CIAP R$ 43.349,58</t>
  </si>
  <si>
    <t>CABO DROP 1FO (WEC) 2KM INT/EXT PRETO</t>
  </si>
  <si>
    <t>ONU ZTE GPON WIFI6 AX3000 F6600P ONITEL (VLR PROD. R$ 1.238.524,00 - CIAP R$ 86.699,16)</t>
  </si>
  <si>
    <t>ONU ZTE GPON WIFI6 AX3000 F6600P ONITEL |ICMS 67.349,00 |</t>
  </si>
  <si>
    <t>CONECTOR Q4 CLICK SC APC</t>
  </si>
  <si>
    <t>ELETRO-AR COMERCIO E REFRIGERACAO LTDA</t>
  </si>
  <si>
    <t>ONU FINDER PRO REDEX | ICMS 377,67 | DIFAL 1748,45</t>
  </si>
  <si>
    <t>REDEX TELECOMUNICACOES LTDA.</t>
  </si>
  <si>
    <t>ONU ZTE GPON WIFI6 AX3000 F6600P NOVACIA | ICMS 27.912,85 |</t>
  </si>
  <si>
    <t>ROTEADOR AC1200 MESH ZTE H199A ONITEL | ICMS 3.058,48|</t>
  </si>
  <si>
    <t>ONU ZTE GPON WIFI6 AX3000 F6600P ONITEL | ICMS 63.910,69|</t>
  </si>
  <si>
    <t>CORDAO MONOFIBRA CONECTORIZADO SM BLI G-657A2 SC-APC/SC-UPC 2.5m - LSZH - AZUL |ICMS 28,66 | DIFAL 60,66|</t>
  </si>
  <si>
    <t>CORDAO MONOFIBRA CONECTORIZADO SM BLI G-657A2 SC-APC/SC-UPC 2.5m - LSZH - AZUL |ICMS 75,43| DIFAL 159,64|</t>
  </si>
  <si>
    <t>CORDAO DUPLEX CONECTORIZADO SM BLI G-657A2 LC-UPC/LC-UPC 5.0m - LSZH - AZUL (A - B) | ICMS 134,02 | DIFAL 283,64|</t>
  </si>
  <si>
    <t>CORDAO MONOFIBRA CONECTORIZADO SM BLI G-657A2 SC-APC/SC-UPC 2.5m - LSZH - AZUL | ICMS 197,63 | DIFAL 418,26|</t>
  </si>
  <si>
    <t>Modulo Eletrico tipo SFP, ETH, 1.25G, com conector tipo RJ45| ICMS 45,13 | DIFAL 208,54|</t>
  </si>
  <si>
    <t>CONECTOR Q4 CLICK SC APC | ICMS 15.162,00</t>
  </si>
  <si>
    <t>ROTEADOR AC1200 MESH ZTE H199A ONITEL (CIAP 3.058,48)</t>
  </si>
  <si>
    <t>ONU ZTE GPON WIFI AAA</t>
  </si>
  <si>
    <t>ONU ZTE GPON WIFI6 AX3000 F6600P ONITEL | ICMS 111.952,40 |</t>
  </si>
  <si>
    <t>CONECTOR Q4 CLICK SC APC | ICMS 15.162,00|</t>
  </si>
  <si>
    <t>CIANET Software Modem ONU GPON Bridge_x000D_
1GE_x000D_</t>
  </si>
  <si>
    <t>NOVA WEB</t>
  </si>
  <si>
    <t>OVERTEK CABO DROP 1 FO 1 KM Fonte da_x000D_
Carga Tributaria: IBPT</t>
  </si>
  <si>
    <t>CONECTOR CLICK OSP2 STD SC/APC G150 A150 (VLR R$24.330,80 + IPI R$2.372,25 + DIFAL R$4945,01 - CIAP R$6.013,13)</t>
  </si>
  <si>
    <t>REDEX TELECOMUNICACOES LTDA</t>
  </si>
  <si>
    <t>CONECTOR CLICK OSP2 STD SC/APC G150 A150 (VLR R$14.669,20 + IPI R$1.430,25 + DIFAL R$2.981,38 - CIAP R$3.625,36)</t>
  </si>
  <si>
    <t>CONECTOR DE CAMPO T CLICK SC/APC A0000 G0150 (vlr R$57.948 + DIFAL R$10.731,11 - CIAP R$13.049,03</t>
  </si>
  <si>
    <t>REDEX - RDX TELECOMUNICACOES LTDA</t>
  </si>
  <si>
    <t>ONU ZTE GPON WIFI6 AX3000 F6600P NOVACIA</t>
  </si>
  <si>
    <t>CONECTOR CLICK OSP2 STD SC/APC G150 A150 (VALOR TOTAL 53.800,00 + DIF. ALIQ 9.962,96 - CIAP 12.114,96)</t>
  </si>
  <si>
    <t>ONU ZTE GPON WIFI6 AX3000 F6600P ONITEL ( VALOR TOTAL 518.758,88 - CIAP 36.314,16)</t>
  </si>
  <si>
    <t>ROTEADOR AC1200 MESH ZTE H199A ONITEL</t>
  </si>
  <si>
    <t>ONT GPON F6201B V9.3 WIFI6 AX3000 ONITEL</t>
  </si>
  <si>
    <t>ONU ZTE GPON WIFI6 AX3000 F6600P ONITE</t>
  </si>
  <si>
    <t>Soma de Valor</t>
  </si>
  <si>
    <t>Soma de Total Encargos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</si>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</sst>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0" applyNumberFormat="1"/>
    <xf numFmtId="0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9"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34" formatCode="_-&quot;R$&quot;\ * #,##0.00_-;\-&quot;R$&quot;\ * #,##0.00_-;_-&quot;R$&quot;\ * &quot;-&quot;??_-;_-@_-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arlos Henrique Araujo" refreshedDate="46219.509292129631" createdVersion="8" refreshedVersion="8" minRefreshableVersion="3" recordCount="154" xr:uid="{5640F0ED-6DCE-438E-A62C-EEB4902F5E82}">
  <cacheSource type="worksheet">
    <worksheetSource name="Bens_Ativos___03_2026___Onitel"/>
  </cacheSource>
  <cacheFields count="23">
    <cacheField name="Estabelecimento" numFmtId="0">
      <sharedItems containsSemiMixedTypes="0" containsString="0" containsNumber="1" containsInteger="1" minValue="1" maxValue="3"/>
    </cacheField>
    <cacheField name="Número Bem" numFmtId="0">
      <sharedItems containsSemiMixedTypes="0" containsString="0" containsNumber="1" containsInteger="1" minValue="17" maxValue="921"/>
    </cacheField>
    <cacheField name="Adição" numFmtId="0">
      <sharedItems containsSemiMixedTypes="0" containsString="0" containsNumber="1" containsInteger="1" minValue="0" maxValue="6"/>
    </cacheField>
    <cacheField name="Descrição" numFmtId="0">
      <sharedItems/>
    </cacheField>
    <cacheField name="Data Aquisição" numFmtId="14">
      <sharedItems containsSemiMixedTypes="0" containsNonDate="0" containsDate="1" containsString="0" minDate="2021-05-01T00:00:00" maxDate="2026-04-01T00:00:00"/>
    </cacheField>
    <cacheField name="Conta Contábil" numFmtId="0">
      <sharedItems containsSemiMixedTypes="0" containsString="0" containsNumber="1" containsInteger="1" minValue="1082" maxValue="5208"/>
    </cacheField>
    <cacheField name="Quantidade" numFmtId="0">
      <sharedItems containsSemiMixedTypes="0" containsString="0" containsNumber="1" containsInteger="1" minValue="1" maxValue="20000"/>
    </cacheField>
    <cacheField name="Percentual Encargo" numFmtId="0">
      <sharedItems containsSemiMixedTypes="0" containsString="0" containsNumber="1" containsInteger="1" minValue="0" maxValue="10"/>
    </cacheField>
    <cacheField name="Valor" numFmtId="0">
      <sharedItems containsSemiMixedTypes="0" containsString="0" containsNumber="1" minValue="13.99" maxValue="1487321.98" count="145">
        <n v="2291.1"/>
        <n v="3490"/>
        <n v="40600"/>
        <n v="1767"/>
        <n v="14100"/>
        <n v="718.47"/>
        <n v="56399.99"/>
        <n v="31000"/>
        <n v="620"/>
        <n v="29000"/>
        <n v="13.99"/>
        <n v="249637.63"/>
        <n v="29997.75"/>
        <n v="101755.28"/>
        <n v="315997"/>
        <n v="604949.01"/>
        <n v="39951"/>
        <n v="327408.15000000002"/>
        <n v="91272.35"/>
        <n v="613.35"/>
        <n v="72.81"/>
        <n v="582303.79"/>
        <n v="204605.04"/>
        <n v="23093"/>
        <n v="37980"/>
        <n v="635015"/>
        <n v="585.91999999999996"/>
        <n v="23783.439999999999"/>
        <n v="252879.23"/>
        <n v="39795.57"/>
        <n v="37239.410000000003"/>
        <n v="212689.54"/>
        <n v="196.16"/>
        <n v="784.6"/>
        <n v="252871.2"/>
        <n v="43724.4"/>
        <n v="1600"/>
        <n v="258.26"/>
        <n v="259332.3"/>
        <n v="42184.73"/>
        <n v="37160.67"/>
        <n v="43.95"/>
        <n v="129197.03"/>
        <n v="711.23"/>
        <n v="237.08"/>
        <n v="392231.14"/>
        <n v="360803.93"/>
        <n v="3410.7"/>
        <n v="1218.1099999999999"/>
        <n v="12741"/>
        <n v="304.33999999999997"/>
        <n v="608.69000000000005"/>
        <n v="3173.47"/>
        <n v="916.4"/>
        <n v="1477.18"/>
        <n v="1111.3399999999999"/>
        <n v="2165.0300000000002"/>
        <n v="680.6"/>
        <n v="344679.11"/>
        <n v="362672.28"/>
        <n v="5582.9"/>
        <n v="4048.72"/>
        <n v="173521.66"/>
        <n v="241772.47"/>
        <n v="3175.07"/>
        <n v="20243.61"/>
        <n v="11717.92"/>
        <n v="40489.75"/>
        <n v="371688.24"/>
        <n v="613.87"/>
        <n v="606.14"/>
        <n v="262.06"/>
        <n v="524.15"/>
        <n v="5429.79"/>
        <n v="29880"/>
        <n v="3802.96"/>
        <n v="351716.31"/>
        <n v="11048.33"/>
        <n v="481927.29"/>
        <n v="11159.93"/>
        <n v="86566.54"/>
        <n v="246250.57"/>
        <n v="252779.04"/>
        <n v="252490.77"/>
        <n v="245811.62"/>
        <n v="1250.8399999999999"/>
        <n v="37350"/>
        <n v="10466.620000000001"/>
        <n v="261690.77"/>
        <n v="1494"/>
        <n v="26620.73"/>
        <n v="55161.95"/>
        <n v="220647.79"/>
        <n v="448159.79"/>
        <n v="11205"/>
        <n v="1077.01"/>
        <n v="527.36"/>
        <n v="275716.63"/>
        <n v="463273.31"/>
        <n v="7599.04"/>
        <n v="583881.69999999995"/>
        <n v="1008.98"/>
        <n v="22325.74"/>
        <n v="12556.6"/>
        <n v="459897.88"/>
        <n v="460571.87"/>
        <n v="12804.08"/>
        <n v="319895.02"/>
        <n v="637509.14"/>
        <n v="17374.5"/>
        <n v="534.6"/>
        <n v="80797.5"/>
        <n v="297981.71000000002"/>
        <n v="575912.42000000004"/>
        <n v="65900"/>
        <n v="1151824.8400000001"/>
        <n v="894752.12"/>
        <n v="79800"/>
        <n v="882117.67"/>
        <n v="9063.9699999999993"/>
        <n v="127158.53"/>
        <n v="40632.9"/>
        <n v="842408.17"/>
        <n v="380.82"/>
        <n v="1002.16"/>
        <n v="1780.56"/>
        <n v="2625.63"/>
        <n v="1083.17"/>
        <n v="64638"/>
        <n v="842517.3"/>
        <n v="7352.89"/>
        <n v="1487321.98"/>
        <n v="1437"/>
        <n v="396.52"/>
        <n v="25634.93"/>
        <n v="15455.47"/>
        <n v="17963.88"/>
        <n v="158753.75"/>
        <n v="444555"/>
        <n v="51648"/>
        <n v="482444.72"/>
        <n v="104417.72"/>
        <n v="521083.88"/>
        <n v="631839.94999999995"/>
        <n v="3175.05"/>
      </sharedItems>
    </cacheField>
    <cacheField name="Encargos Mês" numFmtId="0">
      <sharedItems containsSemiMixedTypes="0" containsString="0" containsNumber="1" minValue="0" maxValue="12394.35"/>
    </cacheField>
    <cacheField name="Total Encargos" numFmtId="0">
      <sharedItems containsSemiMixedTypes="0" containsString="0" containsNumber="1" minValue="0" maxValue="267185.81" count="133">
        <n v="1080.8900000000001"/>
        <n v="1632.43"/>
        <n v="18739.32"/>
        <n v="769.13"/>
        <n v="6011.45"/>
        <n v="293.38"/>
        <n v="23029.99"/>
        <n v="15241.67"/>
        <n v="304.83"/>
        <n v="14024.45"/>
        <n v="0"/>
        <n v="118785.9"/>
        <n v="14365.61"/>
        <n v="49209.06"/>
        <n v="145936.23000000001"/>
        <n v="267185.81"/>
        <n v="17323.189999999999"/>
        <n v="139940.6"/>
        <n v="38913.46"/>
        <n v="260.68"/>
        <n v="30.94"/>
        <n v="242626.58"/>
        <n v="83547.06"/>
        <n v="11329.24"/>
        <n v="18632.66"/>
        <n v="26629.66"/>
        <n v="234.36"/>
        <n v="9513.36"/>
        <n v="101151.67999999999"/>
        <n v="15918.22"/>
        <n v="14585.43"/>
        <n v="300.76"/>
        <n v="130743.7"/>
        <n v="4034.65"/>
        <n v="96.39"/>
        <n v="192.76"/>
        <n v="1004.91"/>
        <n v="290.19"/>
        <n v="467.77"/>
        <n v="342.67"/>
        <n v="649.52"/>
        <n v="204.18"/>
        <n v="103403.7"/>
        <n v="105779.41"/>
        <n v="1628.38"/>
        <n v="1147.1300000000001"/>
        <n v="49164.480000000003"/>
        <n v="68502.2"/>
        <n v="899.6"/>
        <n v="5566.99"/>
        <n v="3124.77"/>
        <n v="11562.64"/>
        <n v="99116.87"/>
        <n v="158.56"/>
        <n v="156.59"/>
        <n v="67.69"/>
        <n v="135.4"/>
        <n v="1402.69"/>
        <n v="7470"/>
        <n v="950.74"/>
        <n v="87929.08"/>
        <n v="2670.01"/>
        <n v="116465.77"/>
        <n v="2603.98"/>
        <n v="20198.87"/>
        <n v="57458.46"/>
        <n v="58981.78"/>
        <n v="58914.52"/>
        <n v="55307.61"/>
        <n v="281.43"/>
        <n v="8534.27"/>
        <n v="855.67"/>
        <n v="2180.5500000000002"/>
        <n v="54518.91"/>
        <n v="311.24"/>
        <n v="5545.98"/>
        <n v="11032.4"/>
        <n v="44129.56"/>
        <n v="89631.96"/>
        <n v="5324.14"/>
        <n v="2241"/>
        <n v="215.4"/>
        <n v="105.48"/>
        <n v="52845.68"/>
        <n v="88794.06"/>
        <n v="1456.48"/>
        <n v="111910.66"/>
        <n v="193.38"/>
        <n v="4093.05"/>
        <n v="2092.7600000000002"/>
        <n v="76649.649999999994"/>
        <n v="76761.98"/>
        <n v="2027.32"/>
        <n v="50650.05"/>
        <n v="100938.95"/>
        <n v="2750.96"/>
        <n v="80.19"/>
        <n v="11446.32"/>
        <n v="42214.080000000002"/>
        <n v="76788.33"/>
        <n v="9335.83"/>
        <n v="143978.10999999999"/>
        <n v="96931.47"/>
        <n v="8645"/>
        <n v="91294.42"/>
        <n v="906.4"/>
        <n v="12221.36"/>
        <n v="3961.71"/>
        <n v="82134.8"/>
        <n v="36.39"/>
        <n v="95.77"/>
        <n v="166.67"/>
        <n v="245.8"/>
        <n v="103.81"/>
        <n v="6338.1"/>
        <n v="3571.76"/>
        <n v="74059.990000000005"/>
        <n v="646.34"/>
        <n v="120638.33"/>
        <n v="5350.58"/>
        <n v="90"/>
        <n v="24.84"/>
        <n v="1345.85"/>
        <n v="811.4"/>
        <n v="1279.69"/>
        <n v="5379.99"/>
        <n v="15065.47"/>
        <n v="1221.77"/>
        <n v="3761"/>
        <n v="140.34"/>
        <n v="140.07"/>
        <n v="11040.22"/>
        <n v="55.48"/>
      </sharedItems>
    </cacheField>
    <cacheField name="Residual" numFmtId="0">
      <sharedItems containsSemiMixedTypes="0" containsString="0" containsNumber="1" minValue="13.99" maxValue="1366683.65"/>
    </cacheField>
    <cacheField name="Valor Societário" numFmtId="0">
      <sharedItems containsSemiMixedTypes="0" containsString="0" containsNumber="1" containsInteger="1" minValue="0" maxValue="0"/>
    </cacheField>
    <cacheField name="Encargos Mês_1" numFmtId="0">
      <sharedItems containsSemiMixedTypes="0" containsString="0" containsNumber="1" containsInteger="1" minValue="0" maxValue="0"/>
    </cacheField>
    <cacheField name="Total Encargos_2" numFmtId="0">
      <sharedItems containsSemiMixedTypes="0" containsString="0" containsNumber="1" containsInteger="1" minValue="0" maxValue="0"/>
    </cacheField>
    <cacheField name="Residual_3" numFmtId="0">
      <sharedItems containsSemiMixedTypes="0" containsString="0" containsNumber="1" containsInteger="1" minValue="0" maxValue="0"/>
    </cacheField>
    <cacheField name="Valor Justo" numFmtId="0">
      <sharedItems containsSemiMixedTypes="0" containsString="0" containsNumber="1" containsInteger="1" minValue="0" maxValue="0"/>
    </cacheField>
    <cacheField name="Encargos Mês_4" numFmtId="0">
      <sharedItems containsSemiMixedTypes="0" containsString="0" containsNumber="1" containsInteger="1" minValue="0" maxValue="0"/>
    </cacheField>
    <cacheField name="Total Encargos_5" numFmtId="0">
      <sharedItems containsSemiMixedTypes="0" containsString="0" containsNumber="1" containsInteger="1" minValue="0" maxValue="0"/>
    </cacheField>
    <cacheField name="Residual_6" numFmtId="0">
      <sharedItems containsSemiMixedTypes="0" containsString="0" containsNumber="1" containsInteger="1" minValue="0" maxValue="0"/>
    </cacheField>
    <cacheField name="Situação" numFmtId="0">
      <sharedItems/>
    </cacheField>
    <cacheField name="Número NF" numFmtId="0">
      <sharedItems containsString="0" containsBlank="1" containsNumber="1" containsInteger="1" minValue="8" maxValue="5583804"/>
    </cacheField>
    <cacheField name="Fornec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n v="1"/>
    <n v="54"/>
    <n v="0"/>
    <s v="CORDAO MONOFIBRA CONECTORIZADO SM SC-APC/SC-UPC 2.5m - COG - AZUL"/>
    <d v="2021-07-13T00:00:00"/>
    <n v="1082"/>
    <n v="100"/>
    <n v="10"/>
    <x v="0"/>
    <n v="19.09"/>
    <x v="0"/>
    <n v="1210.21"/>
    <n v="0"/>
    <n v="0"/>
    <n v="0"/>
    <n v="0"/>
    <n v="0"/>
    <n v="0"/>
    <n v="0"/>
    <n v="0"/>
    <s v="Normal"/>
    <n v="572903"/>
    <s v="Lightera LatAm S.A."/>
  </r>
  <r>
    <n v="1"/>
    <n v="61"/>
    <n v="0"/>
    <s v="PONTO DE TERMINACAO OPTICO - PTO 8 (ROSETA) DP"/>
    <d v="2021-07-28T00:00:00"/>
    <n v="1082"/>
    <n v="100"/>
    <n v="10"/>
    <x v="1"/>
    <n v="29.08"/>
    <x v="1"/>
    <n v="1857.57"/>
    <n v="0"/>
    <n v="0"/>
    <n v="0"/>
    <n v="0"/>
    <n v="0"/>
    <n v="0"/>
    <n v="0"/>
    <n v="0"/>
    <s v="Normal"/>
    <n v="31890"/>
    <s v="DC DISTRIBUIDORA DE EQUIPAMENTOS DE TELECOMUNICACO"/>
  </r>
  <r>
    <n v="1"/>
    <n v="63"/>
    <n v="0"/>
    <s v="CONECTOR DE CAMPO TIPO FAST SC/APC - TIPO CLIQUE"/>
    <d v="2021-08-20T00:00:00"/>
    <n v="1082"/>
    <n v="7"/>
    <n v="10"/>
    <x v="2"/>
    <n v="338.34"/>
    <x v="2"/>
    <n v="21860.68"/>
    <n v="0"/>
    <n v="0"/>
    <n v="0"/>
    <n v="0"/>
    <n v="0"/>
    <n v="0"/>
    <n v="0"/>
    <n v="0"/>
    <s v="Normal"/>
    <n v="41211"/>
    <s v="SKYTECH TELECOM INDUSTRIA E COMERCIO LTDA"/>
  </r>
  <r>
    <n v="1"/>
    <n v="76"/>
    <n v="0"/>
    <s v="2FLEX CONECTOR SC/UPC 3 POSICOES"/>
    <d v="2021-11-24T00:00:00"/>
    <n v="1082"/>
    <n v="300"/>
    <n v="10"/>
    <x v="3"/>
    <n v="14.73"/>
    <x v="3"/>
    <n v="997.87"/>
    <n v="0"/>
    <n v="0"/>
    <n v="0"/>
    <n v="0"/>
    <n v="0"/>
    <n v="0"/>
    <n v="0"/>
    <n v="0"/>
    <s v="Normal"/>
    <n v="16314"/>
    <s v="BRASNET WEB INFORMATICA EIRELI"/>
  </r>
  <r>
    <n v="1"/>
    <n v="83"/>
    <n v="0"/>
    <s v="CAIXA DE TERMINACAO OPTICA MONTADA COM SPLITTER SC-A"/>
    <d v="2021-12-27T00:00:00"/>
    <n v="1082"/>
    <n v="100"/>
    <n v="10"/>
    <x v="4"/>
    <n v="117.5"/>
    <x v="4"/>
    <n v="8088.55"/>
    <n v="0"/>
    <n v="0"/>
    <n v="0"/>
    <n v="0"/>
    <n v="0"/>
    <n v="0"/>
    <n v="0"/>
    <n v="0"/>
    <s v="Normal"/>
    <n v="111867"/>
    <s v="PROQUALIT TELECOM LTDA"/>
  </r>
  <r>
    <n v="1"/>
    <n v="137"/>
    <n v="0"/>
    <s v="CORDAO MONOFIBRA CONECTORIZADO SM BLIG-657A2 SC-APC/SC-UPC 2.5m(VALOR DO BEM R$ 624,76 + IPI R$ 93,71 )_x000d__x000a_"/>
    <d v="2022-02-03T00:00:00"/>
    <n v="1082"/>
    <n v="30"/>
    <n v="10"/>
    <x v="5"/>
    <n v="5.98"/>
    <x v="5"/>
    <n v="425.09"/>
    <n v="0"/>
    <n v="0"/>
    <n v="0"/>
    <n v="0"/>
    <n v="0"/>
    <n v="0"/>
    <n v="0"/>
    <n v="0"/>
    <s v="Normal"/>
    <n v="612004"/>
    <s v="Lightera LatAm S.A."/>
  </r>
  <r>
    <n v="1"/>
    <n v="138"/>
    <n v="0"/>
    <s v="CAIXA DE TERMINACAO OPTICA MONTADA COM SPLITTER SC-A"/>
    <d v="2022-02-09T00:00:00"/>
    <n v="1082"/>
    <n v="400"/>
    <n v="10"/>
    <x v="6"/>
    <n v="470"/>
    <x v="6"/>
    <n v="33370"/>
    <n v="0"/>
    <n v="0"/>
    <n v="0"/>
    <n v="0"/>
    <n v="0"/>
    <n v="0"/>
    <n v="0"/>
    <n v="0"/>
    <s v="Normal"/>
    <n v="114144"/>
    <s v="PROQUALIT TELECOM LTDA"/>
  </r>
  <r>
    <n v="1"/>
    <n v="157"/>
    <n v="0"/>
    <s v="CONECTOR DE CAMPO TIPO FAST SC/APC - TIPO CLIQUE"/>
    <d v="2021-05-01T00:00:00"/>
    <n v="1082"/>
    <n v="5000"/>
    <n v="10"/>
    <x v="7"/>
    <n v="258.33"/>
    <x v="7"/>
    <n v="15758.33"/>
    <n v="0"/>
    <n v="0"/>
    <n v="0"/>
    <n v="0"/>
    <n v="0"/>
    <n v="0"/>
    <n v="0"/>
    <n v="0"/>
    <s v="Normal"/>
    <m/>
    <s v=""/>
  </r>
  <r>
    <n v="1"/>
    <n v="158"/>
    <n v="0"/>
    <s v="CONECTOR DE CAMPO TIPO FAST SC/UPC - TIPO CLIQUE"/>
    <d v="2021-05-01T00:00:00"/>
    <n v="1082"/>
    <n v="100"/>
    <n v="10"/>
    <x v="8"/>
    <n v="5.17"/>
    <x v="8"/>
    <n v="315.17"/>
    <n v="0"/>
    <n v="0"/>
    <n v="0"/>
    <n v="0"/>
    <n v="0"/>
    <n v="0"/>
    <n v="0"/>
    <n v="0"/>
    <s v="Normal"/>
    <m/>
    <s v=""/>
  </r>
  <r>
    <n v="1"/>
    <n v="159"/>
    <n v="0"/>
    <s v="CONECTOR DE CAMPO TIPO FAST SC/APC - TIPO CLIQUE"/>
    <d v="2021-05-31T00:00:00"/>
    <n v="1082"/>
    <n v="5000"/>
    <n v="10"/>
    <x v="9"/>
    <n v="241.66"/>
    <x v="9"/>
    <n v="14975.55"/>
    <n v="0"/>
    <n v="0"/>
    <n v="0"/>
    <n v="0"/>
    <n v="0"/>
    <n v="0"/>
    <n v="0"/>
    <n v="0"/>
    <s v="Normal"/>
    <m/>
    <s v=""/>
  </r>
  <r>
    <n v="1"/>
    <n v="230"/>
    <n v="0"/>
    <s v="FONTE 12V 1A ESTABILIZADA"/>
    <d v="2022-08-12T00:00:00"/>
    <n v="1082"/>
    <n v="1"/>
    <n v="0"/>
    <x v="10"/>
    <n v="0"/>
    <x v="10"/>
    <n v="13.99"/>
    <n v="0"/>
    <n v="0"/>
    <n v="0"/>
    <n v="0"/>
    <n v="0"/>
    <n v="0"/>
    <n v="0"/>
    <n v="0"/>
    <s v="Normal"/>
    <n v="72079"/>
    <s v="SOL - COMERCIO E SERVICOS DA TECNOLOGIA LTDA EPP"/>
  </r>
  <r>
    <n v="1"/>
    <n v="17"/>
    <n v="0"/>
    <s v="ONU GPON WIFI AC1200 MBPS 2 ANTENAS ZTE F670L"/>
    <d v="2021-06-28T00:00:00"/>
    <n v="1083"/>
    <n v="790"/>
    <n v="10"/>
    <x v="11"/>
    <n v="2080.3200000000002"/>
    <x v="11"/>
    <n v="130851.73"/>
    <n v="0"/>
    <n v="0"/>
    <n v="0"/>
    <n v="0"/>
    <n v="0"/>
    <n v="0"/>
    <n v="0"/>
    <n v="0"/>
    <s v="Normal"/>
    <n v="3140940"/>
    <s v="GRUPO MULTI S.A"/>
  </r>
  <r>
    <n v="1"/>
    <n v="19"/>
    <n v="0"/>
    <s v="ONU GPON/EPON HIBRIDA MAXFIBER 1000G"/>
    <d v="2021-06-17T00:00:00"/>
    <n v="1083"/>
    <n v="300"/>
    <n v="10"/>
    <x v="12"/>
    <n v="249.99"/>
    <x v="12"/>
    <n v="15632.14"/>
    <n v="0"/>
    <n v="0"/>
    <n v="0"/>
    <n v="0"/>
    <n v="0"/>
    <n v="0"/>
    <n v="0"/>
    <n v="0"/>
    <s v="Normal"/>
    <n v="4497"/>
    <s v="RIO BRANCO COM. E IND. DE PAPEIS LTDA"/>
  </r>
  <r>
    <n v="1"/>
    <n v="53"/>
    <n v="0"/>
    <s v="ROTEADOR AC1200 MESH ZTE H199A"/>
    <d v="2021-05-31T00:00:00"/>
    <n v="1083"/>
    <n v="449"/>
    <n v="10"/>
    <x v="13"/>
    <n v="847.97"/>
    <x v="13"/>
    <n v="52546.22"/>
    <n v="0"/>
    <n v="0"/>
    <n v="0"/>
    <n v="0"/>
    <n v="0"/>
    <n v="0"/>
    <n v="0"/>
    <n v="0"/>
    <s v="Normal"/>
    <n v="3060958"/>
    <s v="GRUPO MULTI S.A"/>
  </r>
  <r>
    <n v="1"/>
    <n v="64"/>
    <n v="0"/>
    <s v="ONU GPON WIFI AC1200 MBPS 2 ANTENAS ZTE F670L"/>
    <d v="2021-08-19T00:00:00"/>
    <n v="1083"/>
    <n v="1000"/>
    <n v="10"/>
    <x v="14"/>
    <n v="2633.3"/>
    <x v="14"/>
    <n v="170060.77"/>
    <n v="0"/>
    <n v="0"/>
    <n v="0"/>
    <n v="0"/>
    <n v="0"/>
    <n v="0"/>
    <n v="0"/>
    <n v="0"/>
    <s v="Normal"/>
    <n v="3299215"/>
    <s v="GRUPO MULTI S.A"/>
  </r>
  <r>
    <n v="1"/>
    <n v="68"/>
    <n v="0"/>
    <s v="ONU GPON WIFI AC1200 MBPS 2 ANTENAS ZTE F670L"/>
    <d v="2021-10-18T00:00:00"/>
    <n v="1083"/>
    <n v="1966"/>
    <n v="10"/>
    <x v="15"/>
    <n v="5041.24"/>
    <x v="15"/>
    <n v="337763.2"/>
    <n v="0"/>
    <n v="0"/>
    <n v="0"/>
    <n v="0"/>
    <n v="0"/>
    <n v="0"/>
    <n v="0"/>
    <n v="0"/>
    <s v="Normal"/>
    <n v="3474812"/>
    <s v="GRUPO MULTI S.A"/>
  </r>
  <r>
    <n v="1"/>
    <n v="70"/>
    <n v="0"/>
    <s v="ROTEADOR WIFI WS5200 V3 HUAWEI"/>
    <d v="2021-11-30T00:00:00"/>
    <n v="1083"/>
    <n v="300"/>
    <n v="10"/>
    <x v="16"/>
    <n v="332.93"/>
    <x v="16"/>
    <n v="22627.81"/>
    <n v="0"/>
    <n v="0"/>
    <n v="0"/>
    <n v="0"/>
    <n v="0"/>
    <n v="0"/>
    <n v="0"/>
    <n v="0"/>
    <s v="Normal"/>
    <n v="19361"/>
    <s v="FIBERX TELECOM S.A."/>
  </r>
  <r>
    <n v="1"/>
    <n v="81"/>
    <n v="0"/>
    <s v="ONU GPON WIFI F680 AC2000 6 ANTENAS"/>
    <d v="2021-12-23T00:00:00"/>
    <n v="1083"/>
    <n v="782"/>
    <n v="10"/>
    <x v="17"/>
    <n v="2728.4"/>
    <x v="17"/>
    <n v="187467.55"/>
    <n v="0"/>
    <n v="0"/>
    <n v="0"/>
    <n v="0"/>
    <n v="0"/>
    <n v="0"/>
    <n v="0"/>
    <n v="0"/>
    <s v="Normal"/>
    <n v="3675134"/>
    <s v="GRUPO MULTI S.A"/>
  </r>
  <r>
    <n v="1"/>
    <n v="82"/>
    <n v="0"/>
    <s v="ONU GPON WIFI F680 AC2000 6 ANTENAS"/>
    <d v="2021-12-27T00:00:00"/>
    <n v="1083"/>
    <n v="218"/>
    <n v="10"/>
    <x v="18"/>
    <n v="760.6"/>
    <x v="18"/>
    <n v="52358.89"/>
    <n v="0"/>
    <n v="0"/>
    <n v="0"/>
    <n v="0"/>
    <n v="0"/>
    <n v="0"/>
    <n v="0"/>
    <n v="0"/>
    <s v="Normal"/>
    <n v="3678682"/>
    <s v="GRUPO MULTI S.A"/>
  </r>
  <r>
    <n v="1"/>
    <n v="93"/>
    <n v="0"/>
    <s v="WIRELESS ROTEADOR LINK 4G AMPLIMAX FIT"/>
    <d v="2021-12-27T00:00:00"/>
    <n v="1083"/>
    <n v="1"/>
    <n v="10"/>
    <x v="19"/>
    <n v="5.1100000000000003"/>
    <x v="19"/>
    <n v="352.67"/>
    <n v="0"/>
    <n v="0"/>
    <n v="0"/>
    <n v="0"/>
    <n v="0"/>
    <n v="0"/>
    <n v="0"/>
    <n v="0"/>
    <s v="Normal"/>
    <n v="62633"/>
    <s v="SOL - COMERCIO E SERVICOS DA TECNOLOGIA LTDA EPP"/>
  </r>
  <r>
    <n v="1"/>
    <n v="94"/>
    <n v="0"/>
    <s v="ROTEADOR WIRELESS RF 301K 300MBPS CKD"/>
    <d v="2021-12-27T00:00:00"/>
    <n v="1083"/>
    <n v="1"/>
    <n v="10"/>
    <x v="20"/>
    <n v="0.61"/>
    <x v="20"/>
    <n v="41.87"/>
    <n v="0"/>
    <n v="0"/>
    <n v="0"/>
    <n v="0"/>
    <n v="0"/>
    <n v="0"/>
    <n v="0"/>
    <n v="0"/>
    <s v="Normal"/>
    <n v="62633"/>
    <s v="SOL - COMERCIO E SERVICOS DA TECNOLOGIA LTDA EPP"/>
  </r>
  <r>
    <n v="1"/>
    <n v="120"/>
    <n v="0"/>
    <s v="ONU GPON WIFI AC1200 MBPS 2 ANTENAS ZTE F670L(VALOR DO BEM R$ 508.640,00 + IPI R$ 76.296,00)"/>
    <d v="2022-01-26T00:00:00"/>
    <n v="1083"/>
    <n v="1991"/>
    <n v="10"/>
    <x v="21"/>
    <n v="4852.53"/>
    <x v="21"/>
    <n v="339677.21"/>
    <n v="0"/>
    <n v="0"/>
    <n v="0"/>
    <n v="0"/>
    <n v="0"/>
    <n v="0"/>
    <n v="0"/>
    <n v="0"/>
    <s v="Normal"/>
    <n v="3763500"/>
    <s v="GRUPO MULTI S.A"/>
  </r>
  <r>
    <n v="1"/>
    <n v="139"/>
    <n v="0"/>
    <s v="ROTEADOR AC1200 MESH ZTE H199A"/>
    <d v="2022-02-25T00:00:00"/>
    <n v="1083"/>
    <n v="996"/>
    <n v="10"/>
    <x v="22"/>
    <n v="1705.04"/>
    <x v="22"/>
    <n v="121057.98"/>
    <n v="0"/>
    <n v="0"/>
    <n v="0"/>
    <n v="0"/>
    <n v="0"/>
    <n v="0"/>
    <n v="0"/>
    <n v="0"/>
    <s v="Normal"/>
    <n v="3891165"/>
    <s v="GRUPO MULTI S.A"/>
  </r>
  <r>
    <n v="1"/>
    <n v="141"/>
    <n v="0"/>
    <s v="ROTEADOR CLOUD CORE MIKROTIK - CCR1072-1G-8S"/>
    <d v="2021-05-05T00:00:00"/>
    <n v="1083"/>
    <n v="1"/>
    <n v="10"/>
    <x v="23"/>
    <n v="192.44"/>
    <x v="23"/>
    <n v="11763.76"/>
    <n v="0"/>
    <n v="0"/>
    <n v="0"/>
    <n v="0"/>
    <n v="0"/>
    <n v="0"/>
    <n v="0"/>
    <n v="0"/>
    <s v="Normal"/>
    <n v="605"/>
    <s v="K F TECH COMERCIO VAREJISTA E ATACADISTA DE EQUIPA"/>
  </r>
  <r>
    <n v="1"/>
    <n v="142"/>
    <n v="0"/>
    <s v="AC12G-ROTEADOR MERCUSYS AC1200 WRLESS D. BAND"/>
    <d v="2021-05-05T00:00:00"/>
    <n v="1083"/>
    <n v="200"/>
    <n v="10"/>
    <x v="24"/>
    <n v="316.5"/>
    <x v="24"/>
    <n v="19347.34"/>
    <n v="0"/>
    <n v="0"/>
    <n v="0"/>
    <n v="0"/>
    <n v="0"/>
    <n v="0"/>
    <n v="0"/>
    <n v="0"/>
    <s v="Normal"/>
    <n v="605"/>
    <s v="K F TECH COMERCIO VAREJISTA E ATACADISTA DE EQUIPA"/>
  </r>
  <r>
    <n v="1"/>
    <n v="865"/>
    <n v="0"/>
    <s v="ONU ZTE GPON WIFI6 AX3000 F6600P ONITEL"/>
    <d v="2025-10-31T00:00:00"/>
    <n v="1083"/>
    <n v="2000"/>
    <n v="10"/>
    <x v="25"/>
    <n v="5291.79"/>
    <x v="25"/>
    <n v="608385.34"/>
    <n v="0"/>
    <n v="0"/>
    <n v="0"/>
    <n v="0"/>
    <n v="0"/>
    <n v="0"/>
    <n v="0"/>
    <n v="0"/>
    <s v="Normal"/>
    <n v="3139506"/>
    <s v="GRUPO MULTI S.A"/>
  </r>
  <r>
    <n v="1"/>
    <n v="143"/>
    <n v="0"/>
    <s v="CORDAO MONOFIBRA CONECTORIZADO SM BLI G-657A2 LC-UPC/SC-APC 2.5m - LSZH - AZUL(VALOR DO BEM R$ 566,31+ IPI R$ 63,71 + DIFERENCIAL R$ 75,91 - CIAP R$ 1"/>
    <d v="2022-03-15T00:00:00"/>
    <n v="5208"/>
    <n v="20"/>
    <n v="10"/>
    <x v="26"/>
    <n v="4.88"/>
    <x v="26"/>
    <n v="351.56"/>
    <n v="0"/>
    <n v="0"/>
    <n v="0"/>
    <n v="0"/>
    <n v="0"/>
    <n v="0"/>
    <n v="0"/>
    <n v="0"/>
    <s v="Normal"/>
    <n v="619587"/>
    <s v="Lightera LatAm S.A."/>
  </r>
  <r>
    <n v="1"/>
    <n v="152"/>
    <n v="0"/>
    <s v="CAIXA DISTRIBUIDOR INTERNO OPTICO 8D - MONTADO COM S(VALOR DO BEM R$ 25.440,00 + DIFERENCIAL R$ 2.851,22 - CIAP R$ 4.507,78)"/>
    <d v="2022-03-31T00:00:00"/>
    <n v="5208"/>
    <n v="300"/>
    <n v="10"/>
    <x v="27"/>
    <n v="198.2"/>
    <x v="27"/>
    <n v="14270.08"/>
    <n v="0"/>
    <n v="0"/>
    <n v="0"/>
    <n v="0"/>
    <n v="0"/>
    <n v="0"/>
    <n v="0"/>
    <n v="0"/>
    <s v="Normal"/>
    <n v="116934"/>
    <s v="PROQUALIT TELECOM LTDA"/>
  </r>
  <r>
    <n v="1"/>
    <n v="155"/>
    <n v="0"/>
    <s v="ONU GPON WIFI AC1200 MBPS 2 ANTENAS ZTE F670L(VALOR DO BEM R$ 269.859,13 + DIFERENCIAL R$ 29.189,16 - CIAP R$ 46.169,06)"/>
    <d v="2022-03-28T00:00:00"/>
    <n v="5208"/>
    <n v="1000"/>
    <n v="10"/>
    <x v="28"/>
    <n v="2107.33"/>
    <x v="28"/>
    <n v="151727.54999999999"/>
    <n v="0"/>
    <n v="0"/>
    <n v="0"/>
    <n v="0"/>
    <n v="0"/>
    <n v="0"/>
    <n v="0"/>
    <n v="0"/>
    <s v="Normal"/>
    <n v="4029012"/>
    <s v="GRUPO MULTI S.A"/>
  </r>
  <r>
    <n v="1"/>
    <n v="156"/>
    <n v="0"/>
    <s v="ONU GPON BRIDGE ZTE F601V7.0(VALOR DO BEM R$ 42.467,69 + DIFERENCIAL R$ 4.599,18 - CIAP R$ 7.271,30)"/>
    <d v="2022-03-31T00:00:00"/>
    <n v="5208"/>
    <n v="520"/>
    <n v="10"/>
    <x v="29"/>
    <n v="331.63"/>
    <x v="29"/>
    <n v="23877.35"/>
    <n v="0"/>
    <n v="0"/>
    <n v="0"/>
    <n v="0"/>
    <n v="0"/>
    <n v="0"/>
    <n v="0"/>
    <n v="0"/>
    <s v="Normal"/>
    <n v="4041889"/>
    <s v="GRUPO MULTI S.A"/>
  </r>
  <r>
    <n v="1"/>
    <n v="186"/>
    <n v="0"/>
    <s v="ONU GPON WIFI AC1200 MBPS 2 ANTENAS ZTE F670L(VALOR DO BEM R$ 39.739,90 + DIFERENCIAL R$ 4.303,77 - CIAP R$ 6.804,26)"/>
    <d v="2022-04-29T00:00:00"/>
    <n v="5208"/>
    <n v="149"/>
    <n v="10"/>
    <x v="30"/>
    <n v="310.33"/>
    <x v="30"/>
    <n v="22653.98"/>
    <n v="0"/>
    <n v="0"/>
    <n v="0"/>
    <n v="0"/>
    <n v="0"/>
    <n v="0"/>
    <n v="0"/>
    <n v="0"/>
    <s v="Normal"/>
    <n v="4146059"/>
    <s v="GRUPO MULTI S.A"/>
  </r>
  <r>
    <n v="1"/>
    <n v="187"/>
    <n v="0"/>
    <s v="ONU GPON WIFI AC1200 MBPS 2 ANTENAS ZTE F670L(VALOR DO BEM R$ 226.970,85 + DIFERENCIAL R$ 24.580,57 -  CIAP R$ 38.861,88)"/>
    <d v="2022-04-29T00:00:00"/>
    <n v="5208"/>
    <n v="851"/>
    <n v="0"/>
    <x v="31"/>
    <n v="0"/>
    <x v="10"/>
    <n v="212689.54"/>
    <n v="0"/>
    <n v="0"/>
    <n v="0"/>
    <n v="0"/>
    <n v="0"/>
    <n v="0"/>
    <n v="0"/>
    <n v="0"/>
    <s v="Normal"/>
    <n v="4146510"/>
    <s v="GRUPO MULTI S.A"/>
  </r>
  <r>
    <n v="1"/>
    <n v="197"/>
    <n v="0"/>
    <s v="CORDAO MONOFIBRA CONECTORIZADO SM BLI G-657A2 SC-APC/SC-UPC 2.5m - LSZH - AZUL(VALOR DO BEM R$ 210,92 + DIFERENCIAL R$ 25,41 - CIAP R$ 40,17)"/>
    <d v="2022-05-31T00:00:00"/>
    <n v="5208"/>
    <n v="10"/>
    <n v="0"/>
    <x v="32"/>
    <n v="0"/>
    <x v="10"/>
    <n v="196.16"/>
    <n v="0"/>
    <n v="0"/>
    <n v="0"/>
    <n v="0"/>
    <n v="0"/>
    <n v="0"/>
    <n v="0"/>
    <n v="0"/>
    <s v="Normal"/>
    <n v="634285"/>
    <s v="Furukawa Electric LatAm S.A."/>
  </r>
  <r>
    <n v="1"/>
    <n v="198"/>
    <n v="0"/>
    <s v="CORDAO MONOFIBRA CONECTORIZADO SM BLI G-657A2 SC-APC/SC-UPC 2.5m - LSZH - AZUL(VALOR DO BEM R$ 843,66 + DIFERENCIAL R$ 101,65 - CIAP R$ 160,71)"/>
    <d v="2022-05-31T00:00:00"/>
    <n v="5208"/>
    <n v="40"/>
    <n v="10"/>
    <x v="33"/>
    <n v="6.54"/>
    <x v="31"/>
    <n v="483.84"/>
    <n v="0"/>
    <n v="0"/>
    <n v="0"/>
    <n v="0"/>
    <n v="0"/>
    <n v="0"/>
    <n v="0"/>
    <n v="0"/>
    <s v="Normal"/>
    <n v="634285"/>
    <s v="Furukawa Electric LatAm S.A."/>
  </r>
  <r>
    <n v="1"/>
    <n v="199"/>
    <n v="0"/>
    <s v="ONU GPON WIFI AC1200 MBPS 2 ANTENAS ZTE F670L(VALOR DO BEM R$ 269.261,00 + DIFERENCIAL R$ 28.209,64 - CIAP R$ 44.599,44)"/>
    <d v="2022-06-01T00:00:00"/>
    <n v="5208"/>
    <n v="1000"/>
    <n v="0"/>
    <x v="34"/>
    <n v="0"/>
    <x v="10"/>
    <n v="252871.2"/>
    <n v="0"/>
    <n v="0"/>
    <n v="0"/>
    <n v="0"/>
    <n v="0"/>
    <n v="0"/>
    <n v="0"/>
    <n v="0"/>
    <s v="Normal"/>
    <n v="4323567"/>
    <s v="GRUPO MULTI S.A"/>
  </r>
  <r>
    <n v="1"/>
    <n v="204"/>
    <n v="0"/>
    <s v="*CONECTOR FAST SC/APC - SM (Q4) PARA FIBRA OPTICA NAZDA(VALOR DO BEM R$ 45.546,25 + DIFERENCIAL R$ 7.133,75 - CIAP R$ 8.955,60)"/>
    <d v="2022-07-25T00:00:00"/>
    <n v="5208"/>
    <n v="10000"/>
    <n v="0"/>
    <x v="35"/>
    <n v="0"/>
    <x v="10"/>
    <n v="43724.4"/>
    <n v="0"/>
    <n v="0"/>
    <n v="0"/>
    <n v="0"/>
    <n v="0"/>
    <n v="0"/>
    <n v="0"/>
    <n v="0"/>
    <s v="Normal"/>
    <n v="310013"/>
    <s v="DICOMP DISTRIBUIDORA DE ELETRONICOS LTDA"/>
  </r>
  <r>
    <n v="1"/>
    <n v="214"/>
    <n v="0"/>
    <s v="3X1 SUPORTE DIELETRICO ROLDANA ANCORAGEM DROP SUPA (PARAFUSO)(VALOR DO BEM R$ 1.600,00 + DIFERENCIAL R$ 96,39 - CIAP R$ 96,39)"/>
    <d v="2022-07-29T00:00:00"/>
    <n v="5208"/>
    <n v="500"/>
    <n v="0"/>
    <x v="36"/>
    <n v="0"/>
    <x v="10"/>
    <n v="1600"/>
    <n v="0"/>
    <n v="0"/>
    <n v="0"/>
    <n v="0"/>
    <n v="0"/>
    <n v="0"/>
    <n v="0"/>
    <n v="0"/>
    <s v="Normal"/>
    <n v="1091"/>
    <s v="GGS BRASILIA TELECOM LTDA"/>
  </r>
  <r>
    <n v="1"/>
    <n v="220"/>
    <n v="0"/>
    <s v="ROTEADOR HUAWEI WIFI WS7001-40 AX2(VALOR DO BEM R$ 268,03 + DIFERENCIAL R$ 38,25 - CIAP R$ 48,02)_x000d__x000a__x000d__x000a__x000d__x000a_"/>
    <d v="2022-08-03T00:00:00"/>
    <n v="5208"/>
    <n v="2"/>
    <n v="0"/>
    <x v="37"/>
    <n v="0"/>
    <x v="10"/>
    <n v="258.26"/>
    <n v="0"/>
    <n v="0"/>
    <n v="0"/>
    <n v="0"/>
    <n v="0"/>
    <n v="0"/>
    <n v="0"/>
    <n v="0"/>
    <s v="Normal"/>
    <n v="24132"/>
    <s v="FIBERX TELECOM S.A."/>
  </r>
  <r>
    <n v="1"/>
    <n v="235"/>
    <n v="0"/>
    <s v="ONU GPON WIFI AC1200 F670L V9.0(VALOR DO BEM R$ 276.745,50 + DIFERENCIAL R$ 29.971,08 - CIAP R$ 47.384,28)_x000d__x000a__x000d__x000a__x000d__x000a_"/>
    <d v="2022-08-01T00:00:00"/>
    <n v="5208"/>
    <n v="1000"/>
    <n v="0"/>
    <x v="38"/>
    <n v="0"/>
    <x v="10"/>
    <n v="259332.3"/>
    <n v="0"/>
    <n v="0"/>
    <n v="0"/>
    <n v="0"/>
    <n v="0"/>
    <n v="0"/>
    <n v="0"/>
    <n v="0"/>
    <s v="Normal"/>
    <n v="4662359"/>
    <s v="GRUPO MULTI S.A"/>
  </r>
  <r>
    <n v="1"/>
    <n v="236"/>
    <n v="0"/>
    <s v="ROTEADOR HUAWEI WIFI WS7001-40 AX2(VALOR DO BEM R$ 43.780,37 + DIFERENCIAL R$ 6.247,99 - CIAP R$  7.843,63)"/>
    <d v="2022-08-29T00:00:00"/>
    <n v="5208"/>
    <n v="300"/>
    <n v="0"/>
    <x v="39"/>
    <n v="0"/>
    <x v="10"/>
    <n v="42184.73"/>
    <n v="0"/>
    <n v="0"/>
    <n v="0"/>
    <n v="0"/>
    <n v="0"/>
    <n v="0"/>
    <n v="0"/>
    <n v="0"/>
    <s v="Normal"/>
    <n v="24748"/>
    <s v="FIBERX TELECOM S.A."/>
  </r>
  <r>
    <n v="1"/>
    <n v="261"/>
    <n v="0"/>
    <s v="Cabo de Fibra Optica Drop Compacto 1FO( VALOR DO BEM R$ 38.709,03 + DIFERENCIAL R$ 6.062,86 - CIAP R$ 7.611,22)"/>
    <d v="2022-09-28T00:00:00"/>
    <n v="5208"/>
    <n v="50"/>
    <n v="0"/>
    <x v="40"/>
    <n v="0"/>
    <x v="10"/>
    <n v="37160.67"/>
    <n v="0"/>
    <n v="0"/>
    <n v="0"/>
    <n v="0"/>
    <n v="0"/>
    <n v="0"/>
    <n v="0"/>
    <n v="0"/>
    <s v="Normal"/>
    <n v="3436"/>
    <s v="OIW Industria Eletronica S.A. - Filial MT"/>
  </r>
  <r>
    <n v="1"/>
    <n v="262"/>
    <n v="0"/>
    <s v="CONECTOR DE CAMPO SC/APC TIPO CLIQUE MODELO: CNSCAPC03( VALOR DO BEM R$ 49,94 + DIFERENCIAL R$ 3,01 - CIAP R$ 9,00)"/>
    <d v="2022-10-24T00:00:00"/>
    <n v="5208"/>
    <n v="10"/>
    <n v="0"/>
    <x v="41"/>
    <n v="0"/>
    <x v="10"/>
    <n v="43.95"/>
    <n v="0"/>
    <n v="0"/>
    <n v="0"/>
    <n v="0"/>
    <n v="0"/>
    <n v="0"/>
    <n v="0"/>
    <n v="0"/>
    <s v="Normal"/>
    <n v="44911"/>
    <s v="SKYTECH TELECOM INDUSTRIA E COMERCIO LTDA"/>
  </r>
  <r>
    <n v="1"/>
    <n v="263"/>
    <n v="0"/>
    <s v="ONU GPON WIFI AC1200 F670L V9.0( VALOR DO BEM R$ 137.872,13 + DIFERENCIAL R$ 14.931,33 - CIAP R$ 23.606,43)"/>
    <d v="2022-10-07T00:00:00"/>
    <n v="5208"/>
    <n v="500"/>
    <n v="0"/>
    <x v="42"/>
    <n v="0"/>
    <x v="10"/>
    <n v="129197.03"/>
    <n v="0"/>
    <n v="0"/>
    <n v="0"/>
    <n v="0"/>
    <n v="0"/>
    <n v="0"/>
    <n v="0"/>
    <n v="0"/>
    <s v="Normal"/>
    <n v="5050261"/>
    <s v="GRUPO MULTI S.A"/>
  </r>
  <r>
    <n v="1"/>
    <n v="264"/>
    <n v="0"/>
    <s v="ONU GPON WIFI AC1200 F670L V9.0( VALOR DO BEM R$ 137.872,13 + DIFERENCIAL R$ 14.931,33 - CIAP R$ 23.606,43)"/>
    <d v="2022-10-18T00:00:00"/>
    <n v="5208"/>
    <n v="500"/>
    <n v="0"/>
    <x v="42"/>
    <n v="0"/>
    <x v="10"/>
    <n v="129197.03"/>
    <n v="0"/>
    <n v="0"/>
    <n v="0"/>
    <n v="0"/>
    <n v="0"/>
    <n v="0"/>
    <n v="0"/>
    <n v="0"/>
    <s v="Normal"/>
    <n v="5120276"/>
    <s v="GRUPO MULTI S.A"/>
  </r>
  <r>
    <n v="1"/>
    <n v="277"/>
    <n v="0"/>
    <s v="CORDAO MONOFIBRA CONECTORIZADO SM BLI G-657A2 SC-APC/SC-UPC 2.5m - LSZH - AZUL(VALOR DO BEM R$ 764,76 + DIFERENCIAL R$ 92,14 - CIAP R$ 145,67)"/>
    <d v="2022-11-02T00:00:00"/>
    <n v="5208"/>
    <n v="30"/>
    <n v="0"/>
    <x v="43"/>
    <n v="0"/>
    <x v="10"/>
    <n v="711.23"/>
    <n v="0"/>
    <n v="0"/>
    <n v="0"/>
    <n v="0"/>
    <n v="0"/>
    <n v="0"/>
    <n v="0"/>
    <n v="0"/>
    <s v="Normal"/>
    <n v="664685"/>
    <s v="Lightera LatAm S.A."/>
  </r>
  <r>
    <n v="1"/>
    <n v="278"/>
    <n v="0"/>
    <s v="CORDAO MONOFIBRA CONECTORIZADO SM BLI G-657A2 SC-APC/SC-UPC 2.5m - LSZH - AZUL( VALOR  DO BEM R$ 254,92 + DIFERENCIAL R$ 30,71 - CIAP R$ 48,55)"/>
    <d v="2022-11-02T00:00:00"/>
    <n v="5208"/>
    <n v="10"/>
    <n v="0"/>
    <x v="44"/>
    <n v="0"/>
    <x v="10"/>
    <n v="237.08"/>
    <n v="0"/>
    <n v="0"/>
    <n v="0"/>
    <n v="0"/>
    <n v="0"/>
    <n v="0"/>
    <n v="0"/>
    <n v="0"/>
    <s v="Normal"/>
    <n v="664686"/>
    <s v="Lightera LatAm S.A."/>
  </r>
  <r>
    <n v="1"/>
    <n v="300"/>
    <n v="0"/>
    <s v="ONU GPON WIFI AC1200 F670L V9.0( VALOR NF 418.568,00 + DIF. ALQ. 45.330,23 - CIAP 71.667,09"/>
    <d v="2022-11-25T00:00:00"/>
    <n v="5208"/>
    <n v="1610"/>
    <n v="10"/>
    <x v="45"/>
    <n v="3268.59"/>
    <x v="32"/>
    <n v="261487.44"/>
    <n v="0"/>
    <n v="0"/>
    <n v="0"/>
    <n v="0"/>
    <n v="0"/>
    <n v="0"/>
    <n v="0"/>
    <n v="0"/>
    <s v="Normal"/>
    <n v="5370494"/>
    <s v="GRUPO MULTI S.A"/>
  </r>
  <r>
    <n v="1"/>
    <n v="303"/>
    <n v="0"/>
    <s v="ONU GPON WIFI AC1200 F670L V9.0( VALOR DO BEM R$ 389.970,19 + DIFERENCIAL R$ 42.233,13 - CIAP R$ 66.770,58)"/>
    <d v="2022-12-19T00:00:00"/>
    <n v="5208"/>
    <n v="1481"/>
    <n v="0"/>
    <x v="46"/>
    <n v="0"/>
    <x v="10"/>
    <n v="360803.93"/>
    <n v="0"/>
    <n v="0"/>
    <n v="0"/>
    <n v="0"/>
    <n v="0"/>
    <n v="0"/>
    <n v="0"/>
    <n v="0"/>
    <s v="Normal"/>
    <n v="5583804"/>
    <s v="GRUPO MULTI S.A"/>
  </r>
  <r>
    <n v="1"/>
    <n v="303"/>
    <n v="1"/>
    <s v="ONU GPON WIFI AC1200 F670L V9.0( VALOR DO BEM R$ 389.970,19 + DIFERENCIAL R$ 42.233,13 - CIAP R$ 66.770,58)"/>
    <d v="2022-12-19T00:00:00"/>
    <n v="5208"/>
    <n v="14"/>
    <n v="0"/>
    <x v="47"/>
    <n v="0"/>
    <x v="10"/>
    <n v="3410.7"/>
    <n v="0"/>
    <n v="0"/>
    <n v="0"/>
    <n v="0"/>
    <n v="0"/>
    <n v="0"/>
    <n v="0"/>
    <n v="0"/>
    <s v="Normal"/>
    <n v="5583804"/>
    <s v="GRUPO MULTI S.A"/>
  </r>
  <r>
    <n v="1"/>
    <n v="303"/>
    <n v="2"/>
    <s v="ONU GPON WIFI AC1200 F670L V9.0( VALOR DO BEM R$ 389.970,19 + DIFERENCIAL R$ 42.233,13 - CIAP R$ 66.770,58)"/>
    <d v="2022-12-19T00:00:00"/>
    <n v="5208"/>
    <n v="5"/>
    <n v="0"/>
    <x v="48"/>
    <n v="0"/>
    <x v="10"/>
    <n v="1218.1099999999999"/>
    <n v="0"/>
    <n v="0"/>
    <n v="0"/>
    <n v="0"/>
    <n v="0"/>
    <n v="0"/>
    <n v="0"/>
    <n v="0"/>
    <s v="Normal"/>
    <n v="5583804"/>
    <s v="GRUPO MULTI S.A"/>
  </r>
  <r>
    <n v="1"/>
    <n v="319"/>
    <n v="0"/>
    <s v="CAIXA DE TERMINACAO OPTICA MONTADA COM SPLITTER SC-A (VLT BEM 13.700,00 - CIAP 2.609,60 + DIF DE ALIQ. 1.650,60)"/>
    <d v="2023-01-19T00:00:00"/>
    <n v="5208"/>
    <n v="100"/>
    <n v="10"/>
    <x v="49"/>
    <n v="106.18"/>
    <x v="33"/>
    <n v="8706.35"/>
    <n v="0"/>
    <n v="0"/>
    <n v="0"/>
    <n v="0"/>
    <n v="0"/>
    <n v="0"/>
    <n v="0"/>
    <n v="0"/>
    <s v="Normal"/>
    <n v="131895"/>
    <s v="PROQUALIT TELECOM LTDA"/>
  </r>
  <r>
    <n v="1"/>
    <n v="320"/>
    <n v="0"/>
    <s v="CORDAO MONOFIBRA CONECTORIZADO SM BLI G-657A2 LC-UPC/SC-APC 2.5m - LSZH - AZUL (VLT BEM 327,25 - CIAP 62,34  + DIF DE ALIQ 39,43)"/>
    <d v="2023-01-19T00:00:00"/>
    <n v="5208"/>
    <n v="10"/>
    <n v="10"/>
    <x v="50"/>
    <n v="2.54"/>
    <x v="34"/>
    <n v="207.95"/>
    <n v="0"/>
    <n v="0"/>
    <n v="0"/>
    <n v="0"/>
    <n v="0"/>
    <n v="0"/>
    <n v="0"/>
    <n v="0"/>
    <s v="Normal"/>
    <n v="679322"/>
    <s v="Lightera LatAm S.A."/>
  </r>
  <r>
    <n v="1"/>
    <n v="321"/>
    <n v="0"/>
    <s v="CORDAO MONOFIBRA CONECTORIZADO SM BLI G-657A2 LC-UPC/SC-APC 2.5m - LSZH - AZUL (VLT BEM 654,51 - CIAP 124,68 + DIF DE ALIQ 78,86)"/>
    <d v="2023-01-19T00:00:00"/>
    <n v="5208"/>
    <n v="20"/>
    <n v="10"/>
    <x v="51"/>
    <n v="5.07"/>
    <x v="35"/>
    <n v="415.93"/>
    <n v="0"/>
    <n v="0"/>
    <n v="0"/>
    <n v="0"/>
    <n v="0"/>
    <n v="0"/>
    <n v="0"/>
    <n v="0"/>
    <s v="Normal"/>
    <n v="679322"/>
    <s v="Lightera LatAm S.A."/>
  </r>
  <r>
    <n v="1"/>
    <n v="322"/>
    <n v="0"/>
    <s v="CORDAO MONOFIBRA CONECTORIZADO SM BLI G-657A2 SC-APC/SC-UPC 2.5m - LSZH - AZUL (VLT BEM 3.412,33 - CIAP 649,98 + DIF DE ALQ. 411,12)"/>
    <d v="2023-01-19T00:00:00"/>
    <n v="5208"/>
    <n v="150"/>
    <n v="10"/>
    <x v="52"/>
    <n v="26.45"/>
    <x v="36"/>
    <n v="2168.56"/>
    <n v="0"/>
    <n v="0"/>
    <n v="0"/>
    <n v="0"/>
    <n v="0"/>
    <n v="0"/>
    <n v="0"/>
    <n v="0"/>
    <s v="Normal"/>
    <n v="679323"/>
    <s v="Lightera LatAm S.A."/>
  </r>
  <r>
    <n v="1"/>
    <n v="323"/>
    <n v="0"/>
    <s v="CORDAO MONOFIBRA CONECTORIZADO SM BLI G-657A2 SC-APC/SC-APC 2.5m - LSZH - AZUL (VLT BEM 985,38 - CIAP 187,70 + DIF DE ALIQ. 118,72)"/>
    <d v="2023-01-19T00:00:00"/>
    <n v="5208"/>
    <n v="50"/>
    <n v="10"/>
    <x v="53"/>
    <n v="7.64"/>
    <x v="37"/>
    <n v="626.21"/>
    <n v="0"/>
    <n v="0"/>
    <n v="0"/>
    <n v="0"/>
    <n v="0"/>
    <n v="0"/>
    <n v="0"/>
    <n v="0"/>
    <s v="Normal"/>
    <n v="679323"/>
    <s v="Lightera LatAm S.A."/>
  </r>
  <r>
    <n v="1"/>
    <n v="329"/>
    <n v="0"/>
    <s v="Modulo Eletrico tipo SFP, ETH, 1.25G, com conector tipo RJ45 (VLT BEM 1.588,37 - CIAP 302,56 + DIF DE ALIQ 191,37)"/>
    <d v="2023-01-06T00:00:00"/>
    <n v="5208"/>
    <n v="10"/>
    <n v="10"/>
    <x v="54"/>
    <n v="12.31"/>
    <x v="38"/>
    <n v="1009.41"/>
    <n v="0"/>
    <n v="0"/>
    <n v="0"/>
    <n v="0"/>
    <n v="0"/>
    <n v="0"/>
    <n v="0"/>
    <n v="0"/>
    <s v="Normal"/>
    <n v="250472"/>
    <s v="TERACOM TELEMATICA S.A."/>
  </r>
  <r>
    <n v="1"/>
    <n v="340"/>
    <n v="0"/>
    <s v="2FLEX SPLITTER BALANCEADO 1X2 S/CONECTOR (VLT BEM 1.195,00 - CIAP 83,66)"/>
    <d v="2023-02-02T00:00:00"/>
    <n v="5208"/>
    <n v="50"/>
    <n v="10"/>
    <x v="55"/>
    <n v="9.27"/>
    <x v="39"/>
    <n v="768.67"/>
    <n v="0"/>
    <n v="0"/>
    <n v="0"/>
    <n v="0"/>
    <n v="0"/>
    <n v="0"/>
    <n v="0"/>
    <n v="0"/>
    <s v="Normal"/>
    <n v="865"/>
    <s v="BRASNET WEB INFORMATICA LTDA"/>
  </r>
  <r>
    <n v="1"/>
    <n v="346"/>
    <n v="0"/>
    <s v="2FLEX DIO 72FO COMPLETO CONECTOR SC/APC (VLT BEM 2.328,00 - CIAP 162,97)"/>
    <d v="2023-03-27T00:00:00"/>
    <n v="5208"/>
    <n v="4"/>
    <n v="10"/>
    <x v="56"/>
    <n v="18.05"/>
    <x v="40"/>
    <n v="1515.51"/>
    <n v="0"/>
    <n v="0"/>
    <n v="0"/>
    <n v="0"/>
    <n v="0"/>
    <n v="0"/>
    <n v="0"/>
    <n v="0"/>
    <s v="Normal"/>
    <n v="1817"/>
    <s v="BRASNET WEB INFORMATICA LTDA"/>
  </r>
  <r>
    <n v="1"/>
    <n v="377"/>
    <n v="0"/>
    <s v="3X1 SUPORTE DIELETRICO ROLDANA ANCORAGEM DROP SUPA (VLT BEM 820,00 - CIAP 139,40)"/>
    <d v="2023-03-01T00:00:00"/>
    <n v="5208"/>
    <n v="500"/>
    <n v="10"/>
    <x v="57"/>
    <n v="5.67"/>
    <x v="41"/>
    <n v="476.42"/>
    <n v="0"/>
    <n v="0"/>
    <n v="0"/>
    <n v="0"/>
    <n v="0"/>
    <n v="0"/>
    <n v="0"/>
    <n v="0"/>
    <s v="Normal"/>
    <n v="1916"/>
    <s v="WR-ATACADO E DISTRIBUIDORA EIRELI"/>
  </r>
  <r>
    <n v="1"/>
    <n v="388"/>
    <n v="0"/>
    <s v="ONU GPON WIFI AC1200 F670L V9.0 (VLT BEM 370.622,70 - CIAP 70.596,93 + DIF DE ALIQ. 44.653,34)"/>
    <d v="2023-03-10T00:00:00"/>
    <n v="5208"/>
    <n v="1400"/>
    <n v="10"/>
    <x v="58"/>
    <n v="2872.33"/>
    <x v="42"/>
    <n v="241275.41"/>
    <n v="0"/>
    <n v="0"/>
    <n v="0"/>
    <n v="0"/>
    <n v="0"/>
    <n v="0"/>
    <n v="0"/>
    <n v="0"/>
    <s v="Normal"/>
    <n v="112996"/>
    <s v="GRUPO MULTI S.A"/>
  </r>
  <r>
    <n v="1"/>
    <n v="396"/>
    <n v="0"/>
    <s v="ONU GPON WIFI AC1200 F670L V9.0 (VLT BEM 389.970,19 - CIAP 74.282,27 + DIF DE ALIQ. 46.984,36)"/>
    <d v="2023-04-25T00:00:00"/>
    <n v="5208"/>
    <n v="1500"/>
    <n v="10"/>
    <x v="59"/>
    <n v="3022.27"/>
    <x v="43"/>
    <n v="256892.87"/>
    <n v="0"/>
    <n v="0"/>
    <n v="0"/>
    <n v="0"/>
    <n v="0"/>
    <n v="0"/>
    <n v="0"/>
    <n v="0"/>
    <s v="Normal"/>
    <n v="254644"/>
    <s v="GRUPO MULTI S.A"/>
  </r>
  <r>
    <n v="1"/>
    <n v="398"/>
    <n v="0"/>
    <s v="CORDAO MONOFIBRA CONECTORIZADO SM BLI G-657A2 SC-APC/SC-UPC 2.5m - LSZH - AZUL (VLT BEM 6.003,12 - CIAP 1.143,49 + DIF DE ALQ 723,27)"/>
    <d v="2023-04-24T00:00:00"/>
    <n v="5208"/>
    <n v="250"/>
    <n v="10"/>
    <x v="60"/>
    <n v="46.53"/>
    <x v="44"/>
    <n v="3954.52"/>
    <n v="0"/>
    <n v="0"/>
    <n v="0"/>
    <n v="0"/>
    <n v="0"/>
    <n v="0"/>
    <n v="0"/>
    <n v="0"/>
    <s v="Normal"/>
    <n v="696217"/>
    <s v="Lightera LatAm S.A."/>
  </r>
  <r>
    <n v="1"/>
    <n v="401"/>
    <n v="0"/>
    <s v="HK CONECTOR FAST SC/APC CLICK 2F (KG53) (VLT BEM 4.499,75 - CIAP 451,03)"/>
    <d v="2023-05-03T00:00:00"/>
    <n v="5208"/>
    <n v="1000"/>
    <n v="10"/>
    <x v="61"/>
    <n v="33.74"/>
    <x v="45"/>
    <n v="2901.59"/>
    <n v="0"/>
    <n v="0"/>
    <n v="0"/>
    <n v="0"/>
    <n v="0"/>
    <n v="0"/>
    <n v="0"/>
    <n v="0"/>
    <s v="Normal"/>
    <n v="2343"/>
    <s v="BRASNET WEB INFORMATICA LTDA"/>
  </r>
  <r>
    <n v="1"/>
    <n v="438"/>
    <n v="0"/>
    <s v="ONU ZTE GPON WIFI6 AX3000 F6600P (VLT BEM 201.324,68 - CIAP 38.348,72 + DIF DE ALIQ. 24.255,99)"/>
    <d v="2023-05-29T00:00:00"/>
    <n v="5208"/>
    <n v="557"/>
    <n v="10"/>
    <x v="62"/>
    <n v="1446.01"/>
    <x v="46"/>
    <n v="124357.18"/>
    <n v="0"/>
    <n v="0"/>
    <n v="0"/>
    <n v="0"/>
    <n v="0"/>
    <n v="0"/>
    <n v="0"/>
    <n v="0"/>
    <s v="Normal"/>
    <n v="357501"/>
    <s v="GRUPO MULTI S.A"/>
  </r>
  <r>
    <n v="1"/>
    <n v="440"/>
    <n v="0"/>
    <s v="ONU GPON WIFI AC1200 F670L V9.0 (VLT BEM 281.195,50 - CIAP 53.562,67 + DIF DE ALIQ 33.878,98)"/>
    <d v="2023-05-29T00:00:00"/>
    <n v="5208"/>
    <n v="978"/>
    <n v="10"/>
    <x v="63"/>
    <n v="2014.78"/>
    <x v="47"/>
    <n v="173270.27"/>
    <n v="0"/>
    <n v="0"/>
    <n v="0"/>
    <n v="0"/>
    <n v="0"/>
    <n v="0"/>
    <n v="0"/>
    <n v="0"/>
    <s v="Normal"/>
    <n v="357501"/>
    <s v="GRUPO MULTI S.A"/>
  </r>
  <r>
    <n v="1"/>
    <n v="440"/>
    <n v="6"/>
    <s v="onu nf 32"/>
    <d v="2023-05-29T00:00:00"/>
    <n v="5208"/>
    <n v="1"/>
    <n v="10"/>
    <x v="64"/>
    <n v="26.46"/>
    <x v="48"/>
    <n v="2275.4699999999998"/>
    <n v="0"/>
    <n v="0"/>
    <n v="0"/>
    <n v="0"/>
    <n v="0"/>
    <n v="0"/>
    <n v="0"/>
    <n v="0"/>
    <s v="Baixa/Perdido"/>
    <n v="357501"/>
    <s v="GRUPO MULTI S.A"/>
  </r>
  <r>
    <n v="1"/>
    <n v="457"/>
    <n v="0"/>
    <s v="HK CONECTOR FAST SC/APC CLICK 2F (KG53) (VLT BEM 22.498,75 - CIAP 2.255,14)"/>
    <d v="2023-06-07T00:00:00"/>
    <n v="5208"/>
    <n v="5000"/>
    <n v="10"/>
    <x v="65"/>
    <n v="168.7"/>
    <x v="49"/>
    <n v="14676.62"/>
    <n v="0"/>
    <n v="0"/>
    <n v="0"/>
    <n v="0"/>
    <n v="0"/>
    <n v="0"/>
    <n v="0"/>
    <n v="0"/>
    <s v="Normal"/>
    <n v="2797"/>
    <s v="BRASNET WEB INFORMATICA LTDA"/>
  </r>
  <r>
    <n v="1"/>
    <n v="481"/>
    <n v="0"/>
    <s v="OLT FONTE/RETIFICADORA HUAWEI (30A)  ETP4830-A1 (VLT BEM 12.600,00 + CIAP 882,08)"/>
    <d v="2023-07-03T00:00:00"/>
    <n v="5208"/>
    <n v="3"/>
    <n v="10"/>
    <x v="66"/>
    <n v="97.65"/>
    <x v="50"/>
    <n v="8593.15"/>
    <n v="0"/>
    <n v="0"/>
    <n v="0"/>
    <n v="0"/>
    <n v="0"/>
    <n v="0"/>
    <n v="0"/>
    <n v="0"/>
    <s v="Normal"/>
    <n v="30646"/>
    <s v="GW WIRELLES LTDA"/>
  </r>
  <r>
    <n v="1"/>
    <n v="483"/>
    <n v="0"/>
    <s v="CONECTOR RAPIDO (NAZDA) (SC/APC) (Q4) CLICK (10UN) (VLT BEM 45.000,00 - CIAP 4.510,25)"/>
    <d v="2023-07-12T00:00:00"/>
    <n v="5208"/>
    <n v="1000"/>
    <n v="10"/>
    <x v="67"/>
    <n v="361.33"/>
    <x v="51"/>
    <n v="28927.11"/>
    <n v="0"/>
    <n v="0"/>
    <n v="0"/>
    <n v="0"/>
    <n v="0"/>
    <n v="0"/>
    <n v="0"/>
    <n v="0"/>
    <s v="Normal"/>
    <n v="8412"/>
    <s v="FIBER TELECOM"/>
  </r>
  <r>
    <n v="3"/>
    <n v="491"/>
    <n v="0"/>
    <s v="ONU GPON WIFI AC1200 F670L V9.0 (VLT BEM 399.665,63 - CIAP 27.977,39)"/>
    <d v="2023-07-26T00:00:00"/>
    <n v="5208"/>
    <n v="15000"/>
    <n v="10"/>
    <x v="68"/>
    <n v="3097.4"/>
    <x v="52"/>
    <n v="272571.37"/>
    <n v="0"/>
    <n v="0"/>
    <n v="0"/>
    <n v="0"/>
    <n v="0"/>
    <n v="0"/>
    <n v="0"/>
    <n v="0"/>
    <s v="Normal"/>
    <n v="526279"/>
    <s v="GRUPO MULTI S.A"/>
  </r>
  <r>
    <n v="1"/>
    <n v="495"/>
    <n v="0"/>
    <s v="CORDAO MONOFIBRA CONECTORIZADO SM BLI G-657A2 SC-APC/SC-UPC 2.5m - LSZH - AZUL (VLT BEM 660,08 - CIAP 125,74 + DIF DE ALIQ 79,53)"/>
    <d v="2023-08-31T00:00:00"/>
    <n v="5208"/>
    <n v="25"/>
    <n v="10"/>
    <x v="69"/>
    <n v="5.1100000000000003"/>
    <x v="53"/>
    <n v="455.31"/>
    <n v="0"/>
    <n v="0"/>
    <n v="0"/>
    <n v="0"/>
    <n v="0"/>
    <n v="0"/>
    <n v="0"/>
    <n v="0"/>
    <s v="Normal"/>
    <n v="715991"/>
    <s v="Lightera LatAm S.A."/>
  </r>
  <r>
    <n v="1"/>
    <n v="496"/>
    <n v="0"/>
    <s v="CORDAO MONOFIBRA CONECTORIZADO SM BLI G-657A2 SC-APC/SC-APC 2.5m - LSZH - AZUL (VLT BEM 651,76 - CIAP 124,15 + DIF DE ALIQ 78,53)"/>
    <d v="2023-08-31T00:00:00"/>
    <n v="5208"/>
    <n v="25"/>
    <n v="10"/>
    <x v="70"/>
    <n v="5.05"/>
    <x v="54"/>
    <n v="449.55"/>
    <n v="0"/>
    <n v="0"/>
    <n v="0"/>
    <n v="0"/>
    <n v="0"/>
    <n v="0"/>
    <n v="0"/>
    <n v="0"/>
    <s v="Normal"/>
    <n v="715991"/>
    <s v="Lightera LatAm S.A."/>
  </r>
  <r>
    <n v="1"/>
    <n v="497"/>
    <n v="0"/>
    <s v="CORDAO MONOFIBRA CONECTORIZADO SM BLI G-657A2 LC-UPC/SC-APC 2.5m - LSZH - AZUL (VLT BEM 281,79 - CIAP 53,68 + DIF DE ALIQ 33,95)"/>
    <d v="2023-08-31T00:00:00"/>
    <n v="5208"/>
    <n v="10"/>
    <n v="10"/>
    <x v="71"/>
    <n v="2.19"/>
    <x v="55"/>
    <n v="194.37"/>
    <n v="0"/>
    <n v="0"/>
    <n v="0"/>
    <n v="0"/>
    <n v="0"/>
    <n v="0"/>
    <n v="0"/>
    <n v="0"/>
    <s v="Normal"/>
    <n v="715991"/>
    <s v="Lightera LatAm S.A."/>
  </r>
  <r>
    <n v="1"/>
    <n v="498"/>
    <n v="0"/>
    <s v="CORDAO MONOFIBRA CONECTORIZADO SM BLI G-657A2 LC-UPC/SC-APC 2.5m - LSZH - AZUL (VLT BEM 563,60 - CIAP 107,35 + DIF DE ALIQ 67,90)"/>
    <d v="2023-08-31T00:00:00"/>
    <n v="5208"/>
    <n v="20"/>
    <n v="10"/>
    <x v="72"/>
    <n v="4.3600000000000003"/>
    <x v="56"/>
    <n v="388.75"/>
    <n v="0"/>
    <n v="0"/>
    <n v="0"/>
    <n v="0"/>
    <n v="0"/>
    <n v="0"/>
    <n v="0"/>
    <n v="0"/>
    <s v="Normal"/>
    <n v="715991"/>
    <s v="Lightera LatAm S.A."/>
  </r>
  <r>
    <n v="1"/>
    <n v="505"/>
    <n v="0"/>
    <s v="FERRAGEM CONJ. ESTICADOR FIO (DROP) FIG8 C/ GANCHO (VLT BEM 6.500,01  - CIAP 1.070,22)"/>
    <d v="2023-08-03T00:00:00"/>
    <n v="5208"/>
    <n v="10000"/>
    <n v="10"/>
    <x v="73"/>
    <n v="45.24"/>
    <x v="57"/>
    <n v="4027.1"/>
    <n v="0"/>
    <n v="0"/>
    <n v="0"/>
    <n v="0"/>
    <n v="0"/>
    <n v="0"/>
    <n v="0"/>
    <n v="0"/>
    <s v="Normal"/>
    <n v="1040"/>
    <s v="GW EIRELESS EIRELLI FILIAL IND"/>
  </r>
  <r>
    <n v="1"/>
    <n v="510"/>
    <n v="0"/>
    <s v="CONECTOR RAPIDO (NAZDA) (SC/APC) (Q4) CLICK (10UN) (VLT BEM 36.000,00 - CIAP 6.120,00)"/>
    <d v="2023-09-20T00:00:00"/>
    <n v="5208"/>
    <n v="800"/>
    <n v="10"/>
    <x v="74"/>
    <n v="249"/>
    <x v="58"/>
    <n v="22410"/>
    <n v="0"/>
    <n v="0"/>
    <n v="0"/>
    <n v="0"/>
    <n v="0"/>
    <n v="0"/>
    <n v="0"/>
    <n v="0"/>
    <s v="Normal"/>
    <n v="9130"/>
    <s v="FIBER TELECOM"/>
  </r>
  <r>
    <n v="1"/>
    <n v="511"/>
    <n v="0"/>
    <s v="CONECTOR RAPIDO (NAZDA) (SC/UPC)(Q4) CLICK  (10UN) (VLT BEM 4.500,00 - CIAP 697,04)"/>
    <d v="2023-09-20T00:00:00"/>
    <n v="5208"/>
    <n v="100"/>
    <n v="10"/>
    <x v="75"/>
    <n v="31.69"/>
    <x v="59"/>
    <n v="2852.22"/>
    <n v="0"/>
    <n v="0"/>
    <n v="0"/>
    <n v="0"/>
    <n v="0"/>
    <n v="0"/>
    <n v="0"/>
    <n v="0"/>
    <s v="Normal"/>
    <n v="9130"/>
    <s v="FIBER TELECOM"/>
  </r>
  <r>
    <n v="3"/>
    <n v="512"/>
    <n v="0"/>
    <s v="ONU GPON WIFI AC1200 F670L V9.0 (VLT BEM 396.077,81 - CIAP 27.726,24)"/>
    <d v="2023-09-22T00:00:00"/>
    <n v="5208"/>
    <n v="1437"/>
    <n v="10"/>
    <x v="76"/>
    <n v="2930.97"/>
    <x v="60"/>
    <n v="263787.23"/>
    <n v="0"/>
    <n v="0"/>
    <n v="0"/>
    <n v="0"/>
    <n v="0"/>
    <n v="0"/>
    <n v="0"/>
    <n v="0"/>
    <s v="Normal"/>
    <n v="752308"/>
    <s v="GRUPO MULTI S.A"/>
  </r>
  <r>
    <n v="1"/>
    <n v="515"/>
    <n v="0"/>
    <s v="ONU GPON (ZTE) F670L (BRANCO) (VLT BEM 11.880,00 - CIAP 831,67)"/>
    <d v="2023-10-03T00:00:00"/>
    <n v="5208"/>
    <n v="44"/>
    <n v="10"/>
    <x v="77"/>
    <n v="92.07"/>
    <x v="61"/>
    <n v="8378.32"/>
    <n v="0"/>
    <n v="0"/>
    <n v="0"/>
    <n v="0"/>
    <n v="0"/>
    <n v="0"/>
    <n v="0"/>
    <n v="0"/>
    <s v="Normal"/>
    <n v="31918"/>
    <s v="GW WIRELLES LTDA"/>
  </r>
  <r>
    <n v="3"/>
    <n v="519"/>
    <n v="0"/>
    <s v="ONU GPON WIFI AC1200 F670L V9.0 ONITEL (VLT BEM 518.202,50 -  CIAP 36.275,21)"/>
    <d v="2023-10-19T00:00:00"/>
    <n v="5208"/>
    <n v="2000"/>
    <n v="10"/>
    <x v="78"/>
    <n v="4016.06"/>
    <x v="62"/>
    <n v="365461.52"/>
    <n v="0"/>
    <n v="0"/>
    <n v="0"/>
    <n v="0"/>
    <n v="0"/>
    <n v="0"/>
    <n v="0"/>
    <n v="0"/>
    <s v="Normal"/>
    <n v="873120"/>
    <s v="GRUPO MULTI S.A"/>
  </r>
  <r>
    <n v="1"/>
    <n v="529"/>
    <n v="0"/>
    <s v="ONU GPON (FIBERHOME) 5506/01A (PRETA) BRIDGE MINI (VLT BEM 12.000,00 - CIAP 840,07)"/>
    <d v="2023-11-16T00:00:00"/>
    <n v="5208"/>
    <n v="100"/>
    <n v="10"/>
    <x v="79"/>
    <n v="93"/>
    <x v="63"/>
    <n v="8555.9500000000007"/>
    <n v="0"/>
    <n v="0"/>
    <n v="0"/>
    <n v="0"/>
    <n v="0"/>
    <n v="0"/>
    <n v="0"/>
    <n v="0"/>
    <s v="Normal"/>
    <n v="32498"/>
    <s v="GW WIRELLES LTDA"/>
  </r>
  <r>
    <n v="3"/>
    <n v="532"/>
    <n v="0"/>
    <s v="ROTEADOR AC1200 MESH ZTE H199A ONITEL (VLT BEM 94.725,50 - CIAP 6.630,97)"/>
    <d v="2023-11-20T00:00:00"/>
    <n v="5208"/>
    <n v="500"/>
    <n v="10"/>
    <x v="80"/>
    <n v="721.4"/>
    <x v="64"/>
    <n v="66367.67"/>
    <n v="0"/>
    <n v="0"/>
    <n v="0"/>
    <n v="0"/>
    <n v="0"/>
    <n v="0"/>
    <n v="0"/>
    <n v="0"/>
    <s v="Normal"/>
    <n v="997251"/>
    <s v="GRUPO MULTI S.A"/>
  </r>
  <r>
    <n v="3"/>
    <n v="533"/>
    <n v="0"/>
    <s v="ONU GPON WIFI AC1200 F670L V9.0 ONITEL (VLT BEM 264,786,13 - CIAP 18.535,56)"/>
    <d v="2023-11-23T00:00:00"/>
    <n v="5208"/>
    <n v="1000"/>
    <n v="10"/>
    <x v="81"/>
    <n v="2052.09"/>
    <x v="65"/>
    <n v="188792.11"/>
    <n v="0"/>
    <n v="0"/>
    <n v="0"/>
    <n v="0"/>
    <n v="0"/>
    <n v="0"/>
    <n v="0"/>
    <n v="0"/>
    <s v="Normal"/>
    <n v="1014893"/>
    <s v="GRUPO MULTI S.A"/>
  </r>
  <r>
    <n v="3"/>
    <n v="534"/>
    <n v="0"/>
    <s v="ONU ZTE GPON WIFI6 AX3000 F6600P ONITEL (VLT BEM 271.806,00 - CIAP 19.026,96)"/>
    <d v="2023-11-24T00:00:00"/>
    <n v="5208"/>
    <n v="1000"/>
    <n v="10"/>
    <x v="82"/>
    <n v="2106.4899999999998"/>
    <x v="66"/>
    <n v="193797.26"/>
    <n v="0"/>
    <n v="0"/>
    <n v="0"/>
    <n v="0"/>
    <n v="0"/>
    <n v="0"/>
    <n v="0"/>
    <n v="0"/>
    <s v="Normal"/>
    <n v="1025183"/>
    <s v="GRUPO MULTI S.A"/>
  </r>
  <r>
    <n v="3"/>
    <n v="535"/>
    <n v="0"/>
    <s v="ONU ZTE GPON WIFI6 AX3000 F6600P ONITEL (VLT BEM 271.806,00 - CIAP 19.026,96)"/>
    <d v="2023-11-29T00:00:00"/>
    <n v="5208"/>
    <n v="999"/>
    <n v="10"/>
    <x v="83"/>
    <n v="2104.09"/>
    <x v="67"/>
    <n v="193576.25"/>
    <n v="0"/>
    <n v="0"/>
    <n v="0"/>
    <n v="0"/>
    <n v="0"/>
    <n v="0"/>
    <n v="0"/>
    <n v="0"/>
    <s v="Normal"/>
    <n v="1066150"/>
    <s v="GRUPO MULTI S.A"/>
  </r>
  <r>
    <n v="3"/>
    <n v="536"/>
    <n v="0"/>
    <s v="ONU GPON WIFI AC1200 F670L V9.0 ONITEL (VLT BEM 264.786,13 - CIAP 18.535,56)"/>
    <d v="2023-12-01T00:00:00"/>
    <n v="5208"/>
    <n v="998"/>
    <n v="10"/>
    <x v="84"/>
    <n v="2048.4299999999998"/>
    <x v="68"/>
    <n v="190504.01"/>
    <n v="0"/>
    <n v="0"/>
    <n v="0"/>
    <n v="0"/>
    <n v="0"/>
    <n v="0"/>
    <n v="0"/>
    <n v="0"/>
    <s v="Normal"/>
    <n v="1082100"/>
    <s v="GRUPO MULTI S.A"/>
  </r>
  <r>
    <n v="1"/>
    <n v="539"/>
    <n v="0"/>
    <s v="ONT GPON WIFI AC (FIBERHOME) HG6143D 4GE 1POTS 1200MBPS (VLT BEM 1.345,00 - CIAP 94,16)"/>
    <d v="2023-12-14T00:00:00"/>
    <n v="5208"/>
    <n v="5"/>
    <n v="10"/>
    <x v="85"/>
    <n v="10.42"/>
    <x v="69"/>
    <n v="969.41"/>
    <n v="0"/>
    <n v="0"/>
    <n v="0"/>
    <n v="0"/>
    <n v="0"/>
    <n v="0"/>
    <n v="0"/>
    <n v="0"/>
    <s v="Normal"/>
    <n v="32890"/>
    <s v="GW WIRELLES LTDA"/>
  </r>
  <r>
    <n v="1"/>
    <n v="540"/>
    <n v="0"/>
    <s v="CONECTOR RAPIDO (NAZDA) (SC/APC) (Q4) CLICK (10UN) (VLT BEM 45.000,000 - CIAP 7.650,00)"/>
    <d v="2023-12-19T00:00:00"/>
    <n v="5208"/>
    <n v="1000"/>
    <n v="10"/>
    <x v="86"/>
    <n v="311.25"/>
    <x v="70"/>
    <n v="28815.73"/>
    <n v="0"/>
    <n v="0"/>
    <n v="0"/>
    <n v="0"/>
    <n v="0"/>
    <n v="0"/>
    <n v="0"/>
    <n v="0"/>
    <s v="Normal"/>
    <n v="10342"/>
    <s v="FIBER TELECOM"/>
  </r>
  <r>
    <n v="1"/>
    <n v="541"/>
    <n v="0"/>
    <s v="CONECTOR RAPIDO (NAZDA) (SC/UPC)(Q4) CLICK  (10UN) (VLT BEM 4.500,00 - CIAP 697,04)"/>
    <d v="2023-12-19T00:00:00"/>
    <n v="5208"/>
    <n v="100"/>
    <n v="10"/>
    <x v="75"/>
    <n v="31.69"/>
    <x v="71"/>
    <n v="2947.29"/>
    <n v="0"/>
    <n v="0"/>
    <n v="0"/>
    <n v="0"/>
    <n v="0"/>
    <n v="0"/>
    <n v="0"/>
    <n v="0"/>
    <s v="Normal"/>
    <n v="10342"/>
    <s v="FIBER TELECOM"/>
  </r>
  <r>
    <n v="3"/>
    <n v="557"/>
    <n v="0"/>
    <s v="ONU ZTE GPON WIFI6 AX3000 F6600P ONITEL (VLT BEM 11.254,45 - CIAP 787,83)"/>
    <d v="2024-02-20T00:00:00"/>
    <n v="5208"/>
    <n v="38"/>
    <n v="10"/>
    <x v="87"/>
    <n v="87.22"/>
    <x v="72"/>
    <n v="8286.07"/>
    <n v="0"/>
    <n v="0"/>
    <n v="0"/>
    <n v="0"/>
    <n v="0"/>
    <n v="0"/>
    <n v="0"/>
    <n v="0"/>
    <s v="Normal"/>
    <n v="1384754"/>
    <s v="GRUPO MULTI S.A"/>
  </r>
  <r>
    <n v="3"/>
    <n v="558"/>
    <n v="0"/>
    <s v="ONU ZTE GPON WIFI6 AX3000 F6600P ONITEL (VLT BEM 284.915,30 - CIAP 19.944,64)"/>
    <d v="2024-02-23T00:00:00"/>
    <n v="5208"/>
    <n v="952"/>
    <n v="10"/>
    <x v="88"/>
    <n v="2180.7600000000002"/>
    <x v="73"/>
    <n v="207171.86"/>
    <n v="0"/>
    <n v="0"/>
    <n v="0"/>
    <n v="0"/>
    <n v="0"/>
    <n v="0"/>
    <n v="0"/>
    <n v="0"/>
    <s v="Normal"/>
    <n v="1395991"/>
    <s v="GRUPO MULTI S.A"/>
  </r>
  <r>
    <n v="1"/>
    <n v="568"/>
    <n v="0"/>
    <s v="FERRAGEM CONJ. (TGL) ESTICADOR FIO (DROP) FIG8 PRETO (VLT BEM 1.800,00 - CIAP 306,00)"/>
    <d v="2024-02-14T00:00:00"/>
    <n v="5208"/>
    <n v="3000"/>
    <n v="10"/>
    <x v="89"/>
    <n v="12.45"/>
    <x v="74"/>
    <n v="1182.76"/>
    <n v="0"/>
    <n v="0"/>
    <n v="0"/>
    <n v="0"/>
    <n v="0"/>
    <n v="0"/>
    <n v="0"/>
    <n v="0"/>
    <s v="Normal"/>
    <n v="33558"/>
    <s v="GW WIRELLES LTDA"/>
  </r>
  <r>
    <n v="1"/>
    <n v="572"/>
    <n v="0"/>
    <s v="CONECTOR RAPIDO (NAZDA) (SC/APC) (Q4) CLICK (10UN) (VLT BEM 31.500,00 - CIAP 4.879,27)"/>
    <d v="2024-02-14T00:00:00"/>
    <n v="5208"/>
    <n v="700"/>
    <n v="10"/>
    <x v="90"/>
    <n v="221.84"/>
    <x v="75"/>
    <n v="21074.75"/>
    <n v="0"/>
    <n v="0"/>
    <n v="0"/>
    <n v="0"/>
    <n v="0"/>
    <n v="0"/>
    <n v="0"/>
    <n v="0"/>
    <s v="Normal"/>
    <n v="11008"/>
    <s v="FIBER TELECOM"/>
  </r>
  <r>
    <n v="3"/>
    <n v="573"/>
    <n v="0"/>
    <s v="ONU ZTE GPON WIFI6 AX3000 F6600P ONITEL (VLT BEM 59.314,05 - CIAP 4.152,10)"/>
    <d v="2024-03-15T00:00:00"/>
    <n v="5208"/>
    <n v="200"/>
    <n v="10"/>
    <x v="91"/>
    <n v="459.68"/>
    <x v="76"/>
    <n v="44129.55"/>
    <n v="0"/>
    <n v="0"/>
    <n v="0"/>
    <n v="0"/>
    <n v="0"/>
    <n v="0"/>
    <n v="0"/>
    <n v="0"/>
    <s v="Normal"/>
    <n v="1454965"/>
    <s v="GRUPO MULTI S.A"/>
  </r>
  <r>
    <n v="3"/>
    <n v="574"/>
    <n v="0"/>
    <s v="ONU ZTE GPON WIFI6 AX3000 F6600P ONITEL (VLT BEM 237,256,20 - CIAP 16.608,41)"/>
    <d v="2024-03-15T00:00:00"/>
    <n v="5208"/>
    <n v="800"/>
    <n v="10"/>
    <x v="92"/>
    <n v="1838.73"/>
    <x v="77"/>
    <n v="176518.23"/>
    <n v="0"/>
    <n v="0"/>
    <n v="0"/>
    <n v="0"/>
    <n v="0"/>
    <n v="0"/>
    <n v="0"/>
    <n v="0"/>
    <s v="Normal"/>
    <n v="1456152"/>
    <s v="GRUPO MULTI S.A"/>
  </r>
  <r>
    <n v="3"/>
    <n v="577"/>
    <n v="0"/>
    <s v="ONU ZTE GPON WIFI6 AX3000 F6600P ONITEL (VLT BEM 485.618,06 - CIAP 33.994,24)"/>
    <d v="2024-03-21T00:00:00"/>
    <n v="5208"/>
    <n v="1627"/>
    <n v="10"/>
    <x v="93"/>
    <n v="3734.66"/>
    <x v="78"/>
    <n v="358527.83"/>
    <n v="0"/>
    <n v="0"/>
    <n v="0"/>
    <n v="0"/>
    <n v="0"/>
    <n v="0"/>
    <n v="0"/>
    <n v="0"/>
    <s v="Normal"/>
    <n v="1472195"/>
    <s v="GRUPO MULTI S.A"/>
  </r>
  <r>
    <n v="1"/>
    <n v="581"/>
    <n v="0"/>
    <s v="CONECTOR RAPIDO (NAZDA) (SC/APC) (Q4) CLICK (10UN) (VLT BEM 31.500,00 - CIAP 4.879,27)"/>
    <d v="2024-03-07T00:00:00"/>
    <n v="5208"/>
    <n v="700"/>
    <n v="10"/>
    <x v="90"/>
    <n v="221.84"/>
    <x v="79"/>
    <n v="21296.59"/>
    <n v="0"/>
    <n v="0"/>
    <n v="0"/>
    <n v="0"/>
    <n v="0"/>
    <n v="0"/>
    <n v="0"/>
    <n v="0"/>
    <s v="Normal"/>
    <n v="11329"/>
    <s v="FIBER TELECOM"/>
  </r>
  <r>
    <n v="1"/>
    <n v="582"/>
    <n v="0"/>
    <s v="CONECTOR RAPIDO (NAZDA) (SC/APC) (Q4) CLICK (10UN) (VLT BEM 13.500,00 - CIAP 2.295,00)"/>
    <d v="2024-03-12T00:00:00"/>
    <n v="5208"/>
    <n v="300"/>
    <n v="10"/>
    <x v="94"/>
    <n v="93.38"/>
    <x v="80"/>
    <n v="8964"/>
    <n v="0"/>
    <n v="0"/>
    <n v="0"/>
    <n v="0"/>
    <n v="0"/>
    <n v="0"/>
    <n v="0"/>
    <n v="0"/>
    <s v="Normal"/>
    <n v="11394"/>
    <s v="FIBER TELECOM"/>
  </r>
  <r>
    <n v="1"/>
    <n v="583"/>
    <n v="0"/>
    <s v="CORDAO MONOFIBRA CONECTORIZADO SM BLI G-657A2 LC-UPC/SC-APC 2.5m - LSZH - AZUL (VLT BEM 1.158,08 - CIAP 220,60 + DIF DE ALIQ 139,53)"/>
    <d v="2024-03-08T00:00:00"/>
    <n v="5208"/>
    <n v="50"/>
    <n v="10"/>
    <x v="95"/>
    <n v="8.98"/>
    <x v="81"/>
    <n v="861.61"/>
    <n v="0"/>
    <n v="0"/>
    <n v="0"/>
    <n v="0"/>
    <n v="0"/>
    <n v="0"/>
    <n v="0"/>
    <n v="0"/>
    <s v="Normal"/>
    <n v="743832"/>
    <s v="Lightera LatAm S.A."/>
  </r>
  <r>
    <n v="1"/>
    <n v="584"/>
    <n v="0"/>
    <s v="CORDAO MONOFIBRA CONECTORIZADO SM BLI G-657A2 SC-APC/SC-UPC 2.5m - LSZH - AZUL (VLT BEM 567,05 - CIAP 108,01 + DIF DE ALIQ 68,32)"/>
    <d v="2024-03-08T00:00:00"/>
    <n v="5208"/>
    <n v="25"/>
    <n v="10"/>
    <x v="96"/>
    <n v="4.3899999999999997"/>
    <x v="82"/>
    <n v="421.88"/>
    <n v="0"/>
    <n v="0"/>
    <n v="0"/>
    <n v="0"/>
    <n v="0"/>
    <n v="0"/>
    <n v="0"/>
    <n v="0"/>
    <s v="Normal"/>
    <n v="743832"/>
    <s v="Lightera LatAm S.A."/>
  </r>
  <r>
    <n v="3"/>
    <n v="585"/>
    <n v="0"/>
    <s v="ONU ZTE GPON WIFI6 AX3000 F6600P ONITEL (VLT BEM 296.470,13 - CIAP 20.753,50)"/>
    <d v="2024-04-04T00:00:00"/>
    <n v="5208"/>
    <n v="1000"/>
    <n v="10"/>
    <x v="97"/>
    <n v="2297.64"/>
    <x v="83"/>
    <n v="222870.95"/>
    <n v="0"/>
    <n v="0"/>
    <n v="0"/>
    <n v="0"/>
    <n v="0"/>
    <n v="0"/>
    <n v="0"/>
    <n v="0"/>
    <s v="Normal"/>
    <n v="1505173"/>
    <s v="GRUPO MULTI S.A"/>
  </r>
  <r>
    <n v="3"/>
    <n v="589"/>
    <n v="0"/>
    <s v="ONU ZTE GPON WIFI6 AX3000 F6600P ONITEL (VLT BEM 506.315,44 - CIAP 35.443,09)"/>
    <d v="2024-04-22T00:00:00"/>
    <n v="5208"/>
    <n v="1476"/>
    <n v="10"/>
    <x v="98"/>
    <n v="3860.61"/>
    <x v="84"/>
    <n v="374479.25"/>
    <n v="0"/>
    <n v="0"/>
    <n v="0"/>
    <n v="0"/>
    <n v="0"/>
    <n v="0"/>
    <n v="0"/>
    <n v="0"/>
    <s v="Normal"/>
    <n v="1550148"/>
    <s v="GRUPO MULTI S.A"/>
  </r>
  <r>
    <n v="3"/>
    <n v="589"/>
    <n v="1"/>
    <s v="ONU ZTE GPON WIFI6 AX3000 F660P ONITEL"/>
    <d v="2024-04-22T00:00:00"/>
    <n v="5208"/>
    <n v="24"/>
    <n v="10"/>
    <x v="99"/>
    <n v="63.33"/>
    <x v="85"/>
    <n v="6142.56"/>
    <n v="0"/>
    <n v="0"/>
    <n v="0"/>
    <n v="0"/>
    <n v="0"/>
    <n v="0"/>
    <n v="0"/>
    <n v="0"/>
    <s v="Normal"/>
    <n v="1550148"/>
    <s v="GRUPO MULTI S.A"/>
  </r>
  <r>
    <n v="3"/>
    <n v="590"/>
    <n v="0"/>
    <s v="ONU ZTE GPON WIFI6 AX3000 F6600P ONITEL (VLT BEM 627.831,14 - CIAP 43.949,44)"/>
    <d v="2024-04-29T00:00:00"/>
    <n v="5208"/>
    <n v="1860"/>
    <n v="10"/>
    <x v="100"/>
    <n v="4865.68"/>
    <x v="86"/>
    <n v="471971.04"/>
    <n v="0"/>
    <n v="0"/>
    <n v="0"/>
    <n v="0"/>
    <n v="0"/>
    <n v="0"/>
    <n v="0"/>
    <n v="0"/>
    <s v="Normal"/>
    <n v="1570503"/>
    <s v="GRUPO MULTI S.A"/>
  </r>
  <r>
    <n v="1"/>
    <n v="611"/>
    <n v="0"/>
    <s v="CORDAO MONOFIBRA CONECTORIZADO SM BLI G-657A2 SC-APC/SC-UPC 2.5m - LSZH - AZUL (VLT BEM 1.084,93  - CIAP 206,66 + DIF DE ALIQ 130,71)"/>
    <d v="2024-04-29T00:00:00"/>
    <n v="5208"/>
    <n v="50"/>
    <n v="10"/>
    <x v="101"/>
    <n v="8.41"/>
    <x v="87"/>
    <n v="815.6"/>
    <n v="0"/>
    <n v="0"/>
    <n v="0"/>
    <n v="0"/>
    <n v="0"/>
    <n v="0"/>
    <n v="0"/>
    <n v="0"/>
    <s v="Normal"/>
    <n v="751857"/>
    <s v="Lightera LatAm S.A."/>
  </r>
  <r>
    <n v="1"/>
    <n v="612"/>
    <n v="0"/>
    <s v="CORDAO MONOFIBRA CONECTORIZADO SM BLI G-657A2 SC-APC/SC-UPC 2.5m - LSZH - AZUL (VLT BEM 1.084,93 - CIAP 206,66 + DIF DE ALIQ 130,71)"/>
    <d v="2024-04-29T00:00:00"/>
    <n v="5208"/>
    <n v="50"/>
    <n v="10"/>
    <x v="101"/>
    <n v="8.41"/>
    <x v="87"/>
    <n v="815.6"/>
    <n v="0"/>
    <n v="0"/>
    <n v="0"/>
    <n v="0"/>
    <n v="0"/>
    <n v="0"/>
    <n v="0"/>
    <n v="0"/>
    <s v="Normal"/>
    <n v="751857"/>
    <s v="Lightera LatAm S.A."/>
  </r>
  <r>
    <n v="1"/>
    <n v="617"/>
    <n v="0"/>
    <s v="CONECTOR RAPIDO (NAZDA) (SC/APC) (Q4) CLICK (10UN) (VLT BEM 27.000,00 - CIAP 4.674,26)"/>
    <d v="2024-05-21T00:00:00"/>
    <n v="5208"/>
    <n v="600"/>
    <n v="10"/>
    <x v="102"/>
    <n v="186.05"/>
    <x v="88"/>
    <n v="18232.689999999999"/>
    <n v="0"/>
    <n v="0"/>
    <n v="0"/>
    <n v="0"/>
    <n v="0"/>
    <n v="0"/>
    <n v="0"/>
    <n v="0"/>
    <s v="Normal"/>
    <n v="12207"/>
    <s v="FIBER TELECOM"/>
  </r>
  <r>
    <n v="3"/>
    <n v="622"/>
    <n v="0"/>
    <s v="ONU ZTE GPON WIFI6 AX3000 F6600P ONITEL (VLT BEM 13.501,75 - CIAP 945,15)"/>
    <d v="2024-07-01T00:00:00"/>
    <n v="5208"/>
    <n v="40"/>
    <n v="10"/>
    <x v="103"/>
    <n v="104.64"/>
    <x v="89"/>
    <n v="10463.84"/>
    <n v="0"/>
    <n v="0"/>
    <n v="0"/>
    <n v="0"/>
    <n v="0"/>
    <n v="0"/>
    <n v="0"/>
    <n v="0"/>
    <s v="Normal"/>
    <n v="1623827"/>
    <s v="GRUPO MULTI S.A"/>
  </r>
  <r>
    <n v="3"/>
    <n v="623"/>
    <n v="0"/>
    <s v="ONU ZTE GPON WIFI6 AX3000 F6600P ONITEL (VLT BEM 506.315,44 - CIAP 35.443,09)"/>
    <d v="2024-07-01T00:00:00"/>
    <n v="5208"/>
    <n v="1476"/>
    <n v="10"/>
    <x v="104"/>
    <n v="3832.49"/>
    <x v="90"/>
    <n v="383248.23"/>
    <n v="0"/>
    <n v="0"/>
    <n v="0"/>
    <n v="0"/>
    <n v="0"/>
    <n v="0"/>
    <n v="0"/>
    <n v="0"/>
    <s v="Normal"/>
    <n v="1637696"/>
    <s v="GRUPO MULTI S.A"/>
  </r>
  <r>
    <n v="3"/>
    <n v="624"/>
    <n v="0"/>
    <s v="ONU ZTE GPON WIFI6 AX3000 F6600P ONITEL (VLT BEM 506.315,44 - CIAP 35.443,09)"/>
    <d v="2024-07-01T00:00:00"/>
    <n v="5208"/>
    <n v="1493"/>
    <n v="10"/>
    <x v="105"/>
    <n v="3838.1"/>
    <x v="91"/>
    <n v="383809.89"/>
    <n v="0"/>
    <n v="0"/>
    <n v="0"/>
    <n v="0"/>
    <n v="0"/>
    <n v="0"/>
    <n v="0"/>
    <n v="0"/>
    <s v="Normal"/>
    <n v="1643828"/>
    <s v="GRUPO MULTI S.A"/>
  </r>
  <r>
    <n v="3"/>
    <n v="629"/>
    <n v="0"/>
    <s v="ONU ZTE GPON WIFI6 AX3000 F6600P ONITEL (VLT BEM 13.767,86 - CIAP 963,78)"/>
    <d v="2024-08-31T00:00:00"/>
    <n v="5208"/>
    <n v="40"/>
    <n v="10"/>
    <x v="106"/>
    <n v="106.7"/>
    <x v="92"/>
    <n v="10776.76"/>
    <n v="0"/>
    <n v="0"/>
    <n v="0"/>
    <n v="0"/>
    <n v="0"/>
    <n v="0"/>
    <n v="0"/>
    <n v="0"/>
    <s v="Normal"/>
    <n v="1942972"/>
    <s v="GRUPO MULTI S.A"/>
  </r>
  <r>
    <n v="3"/>
    <n v="630"/>
    <n v="0"/>
    <s v="ONU ZTE GPON WIFI6 AX3000 F6600P ONITEL (VLT BEM 343.973,88 - CIAP 24.078,86)"/>
    <d v="2024-08-31T00:00:00"/>
    <n v="5208"/>
    <n v="1000"/>
    <n v="10"/>
    <x v="107"/>
    <n v="2665.79"/>
    <x v="93"/>
    <n v="269244.96999999997"/>
    <n v="0"/>
    <n v="0"/>
    <n v="0"/>
    <n v="0"/>
    <n v="0"/>
    <n v="0"/>
    <n v="0"/>
    <n v="0"/>
    <s v="Normal"/>
    <n v="1943032"/>
    <s v="GRUPO MULTI S.A"/>
  </r>
  <r>
    <n v="3"/>
    <n v="631"/>
    <n v="0"/>
    <s v="ONU ZTE GPON WIFI6 AX3000 F6600P ONITEL (VLT BEM 687.947,75 - CIAP 48.157,72)"/>
    <d v="2024-08-31T00:00:00"/>
    <n v="5208"/>
    <n v="1992"/>
    <n v="10"/>
    <x v="108"/>
    <n v="5312.58"/>
    <x v="94"/>
    <n v="536570.18999999994"/>
    <n v="0"/>
    <n v="0"/>
    <n v="0"/>
    <n v="0"/>
    <n v="0"/>
    <n v="0"/>
    <n v="0"/>
    <n v="0"/>
    <s v="Normal"/>
    <n v="1943740"/>
    <s v="GRUPO MULTI S.A"/>
  </r>
  <r>
    <n v="1"/>
    <n v="632"/>
    <n v="0"/>
    <s v="CONECTOR Q4 CLICK SC APC (VLT BEM 21.450,00 - CIAP 4.075,50)"/>
    <d v="2024-08-15T00:00:00"/>
    <n v="5208"/>
    <n v="5000"/>
    <n v="10"/>
    <x v="109"/>
    <n v="144.79"/>
    <x v="95"/>
    <n v="14623.54"/>
    <n v="0"/>
    <n v="0"/>
    <n v="0"/>
    <n v="0"/>
    <n v="0"/>
    <n v="0"/>
    <n v="0"/>
    <n v="0"/>
    <s v="Normal"/>
    <n v="179"/>
    <s v="NETBIOS TELECOMUNICACOES EIRELI"/>
  </r>
  <r>
    <n v="1"/>
    <n v="633"/>
    <n v="0"/>
    <s v="CONECTOR Q4 CLICK SC APC (VLT BEM 21.450,00 - CIAP 4.075,50)"/>
    <d v="2024-08-16T00:00:00"/>
    <n v="5208"/>
    <n v="5000"/>
    <n v="10"/>
    <x v="109"/>
    <n v="144.79"/>
    <x v="95"/>
    <n v="14623.54"/>
    <n v="0"/>
    <n v="0"/>
    <n v="0"/>
    <n v="0"/>
    <n v="0"/>
    <n v="0"/>
    <n v="0"/>
    <n v="0"/>
    <s v="Normal"/>
    <n v="180"/>
    <s v="NETBIOS TELECOMUNICACOES EIRELI"/>
  </r>
  <r>
    <n v="1"/>
    <n v="642"/>
    <n v="0"/>
    <s v="FONTE (UBIQUITI) POE 48 24W G BR INJECTOR 48VDC 24W 0.5AMP (VLT BEM 660,00 - CIAP 125,40)"/>
    <d v="2024-09-10T00:00:00"/>
    <n v="5208"/>
    <n v="4"/>
    <n v="10"/>
    <x v="110"/>
    <n v="4.46"/>
    <x v="96"/>
    <n v="454.41"/>
    <n v="0"/>
    <n v="0"/>
    <n v="0"/>
    <n v="0"/>
    <n v="0"/>
    <n v="0"/>
    <n v="0"/>
    <n v="0"/>
    <s v="Normal"/>
    <n v="36130"/>
    <s v="GW WIRELLES LTDA"/>
  </r>
  <r>
    <n v="1"/>
    <n v="662"/>
    <n v="0"/>
    <s v="CONECTOR Q4 CLICK SC APC VLR PROD R$ 99.750,00 - CIAP R$ 18.952,50"/>
    <d v="2024-10-29T00:00:00"/>
    <n v="5208"/>
    <n v="1"/>
    <n v="10"/>
    <x v="111"/>
    <n v="673.32"/>
    <x v="97"/>
    <n v="69351.179999999993"/>
    <n v="0"/>
    <n v="0"/>
    <n v="0"/>
    <n v="0"/>
    <n v="0"/>
    <n v="0"/>
    <n v="0"/>
    <n v="0"/>
    <s v="Normal"/>
    <n v="181"/>
    <s v="NETBIOS TELECOMUNICACOES EIRELI"/>
  </r>
  <r>
    <n v="3"/>
    <n v="670"/>
    <n v="0"/>
    <s v="ONU ZTE GPON WIFI6 AX3000 F6600P ONITEL (VLR PROD. R$ 320.411,13 - CIAP R$ 22.429,42)"/>
    <d v="2024-10-30T00:00:00"/>
    <n v="5208"/>
    <n v="1000"/>
    <n v="10"/>
    <x v="112"/>
    <n v="2483.1799999999998"/>
    <x v="98"/>
    <n v="255767.63"/>
    <n v="0"/>
    <n v="0"/>
    <n v="0"/>
    <n v="0"/>
    <n v="0"/>
    <n v="0"/>
    <n v="0"/>
    <n v="0"/>
    <s v="Normal"/>
    <n v="2148684"/>
    <s v="GRUPO MULTI S.A"/>
  </r>
  <r>
    <n v="3"/>
    <n v="671"/>
    <n v="0"/>
    <s v="ONU ZTE GPON WIFI6 AX3000 F6600P ONITEL (VLR PROD. R$ 320.411,13 - CIAP R$ 22.429,42)"/>
    <d v="2024-10-30T00:00:00"/>
    <n v="5208"/>
    <n v="1000"/>
    <n v="10"/>
    <x v="112"/>
    <n v="2483.1799999999998"/>
    <x v="98"/>
    <n v="255767.63"/>
    <n v="0"/>
    <n v="0"/>
    <n v="0"/>
    <n v="0"/>
    <n v="0"/>
    <n v="0"/>
    <n v="0"/>
    <n v="0"/>
    <s v="Normal"/>
    <n v="2150398"/>
    <s v="GRUPO MULTI S.A"/>
  </r>
  <r>
    <n v="3"/>
    <n v="672"/>
    <n v="0"/>
    <s v="ONU ZTE GPON WIFI6 AX3000 F6600P ONITEL VLR PROD. R$ 619.262,00 - CIAP R$ 43.349,58"/>
    <d v="2024-11-26T00:00:00"/>
    <n v="5208"/>
    <n v="2000"/>
    <n v="10"/>
    <x v="113"/>
    <n v="4799.2700000000004"/>
    <x v="99"/>
    <n v="499124.09"/>
    <n v="0"/>
    <n v="0"/>
    <n v="0"/>
    <n v="0"/>
    <n v="0"/>
    <n v="0"/>
    <n v="0"/>
    <n v="0"/>
    <s v="Normal"/>
    <n v="2235744"/>
    <s v="GRUPO MULTI S.A"/>
  </r>
  <r>
    <n v="3"/>
    <n v="673"/>
    <n v="0"/>
    <s v="ONU ZTE GPON WIFI6 AX3000 F6600P ONITEL VLR PROD. R$ 619.262,00 - CIAP R$ 43.349,58"/>
    <d v="2024-11-26T00:00:00"/>
    <n v="5208"/>
    <n v="2000"/>
    <n v="10"/>
    <x v="113"/>
    <n v="4799.2700000000004"/>
    <x v="99"/>
    <n v="499124.09"/>
    <n v="0"/>
    <n v="0"/>
    <n v="0"/>
    <n v="0"/>
    <n v="0"/>
    <n v="0"/>
    <n v="0"/>
    <n v="0"/>
    <s v="Normal"/>
    <n v="2235754"/>
    <s v="GRUPO MULTI S.A"/>
  </r>
  <r>
    <n v="1"/>
    <n v="675"/>
    <n v="0"/>
    <s v="CABO DROP 1FO (WEC) 2KM INT/EXT PRETO"/>
    <d v="2024-10-01T00:00:00"/>
    <n v="5208"/>
    <n v="1"/>
    <n v="10"/>
    <x v="114"/>
    <n v="549.16999999999996"/>
    <x v="100"/>
    <n v="56564.17"/>
    <n v="0"/>
    <n v="0"/>
    <n v="0"/>
    <n v="0"/>
    <n v="0"/>
    <n v="0"/>
    <n v="0"/>
    <n v="0"/>
    <s v="Normal"/>
    <n v="13563"/>
    <s v="FIBER TELECOM"/>
  </r>
  <r>
    <n v="3"/>
    <n v="686"/>
    <n v="0"/>
    <s v="ONU ZTE GPON WIFI6 AX3000 F6600P ONITEL (VLR PROD. R$ 1.238.524,00 - CIAP R$ 86.699,16)"/>
    <d v="2024-12-16T00:00:00"/>
    <n v="5208"/>
    <n v="4000"/>
    <n v="10"/>
    <x v="115"/>
    <n v="9598.5400000000009"/>
    <x v="101"/>
    <n v="1007846.73"/>
    <n v="0"/>
    <n v="0"/>
    <n v="0"/>
    <n v="0"/>
    <n v="0"/>
    <n v="0"/>
    <n v="0"/>
    <n v="0"/>
    <s v="Normal"/>
    <n v="2324472"/>
    <s v="GRUPO MULTI S.A"/>
  </r>
  <r>
    <n v="1"/>
    <n v="700"/>
    <n v="0"/>
    <s v="ONU ZTE GPON WIFI6 AX3000 F6600P ONITEL |ICMS 67.349,00 |"/>
    <d v="2025-02-20T00:00:00"/>
    <n v="5208"/>
    <n v="3000"/>
    <n v="10"/>
    <x v="116"/>
    <n v="7456.26"/>
    <x v="102"/>
    <n v="797820.65"/>
    <n v="0"/>
    <n v="0"/>
    <n v="0"/>
    <n v="0"/>
    <n v="0"/>
    <n v="0"/>
    <n v="0"/>
    <n v="0"/>
    <s v="Normal"/>
    <n v="2483370"/>
    <s v="GRUPO MULTI S.A"/>
  </r>
  <r>
    <n v="1"/>
    <n v="712"/>
    <n v="0"/>
    <s v="CONECTOR Q4 CLICK SC APC"/>
    <d v="2025-02-04T00:00:00"/>
    <n v="5208"/>
    <n v="20000"/>
    <n v="10"/>
    <x v="117"/>
    <n v="665"/>
    <x v="103"/>
    <n v="71155"/>
    <n v="0"/>
    <n v="0"/>
    <n v="0"/>
    <n v="0"/>
    <n v="0"/>
    <n v="0"/>
    <n v="0"/>
    <n v="0"/>
    <s v="Normal"/>
    <n v="8"/>
    <s v="ELETRO-AR COMERCIO E REFRIGERACAO LTDA"/>
  </r>
  <r>
    <n v="1"/>
    <n v="725"/>
    <n v="1"/>
    <s v="ONU ZTE GPON WIFI6 AX3000 F6600P ONITEL"/>
    <d v="2025-03-19T00:00:00"/>
    <n v="5208"/>
    <n v="2958"/>
    <n v="10"/>
    <x v="118"/>
    <n v="7350.98"/>
    <x v="104"/>
    <n v="790823.25"/>
    <n v="0"/>
    <n v="0"/>
    <n v="0"/>
    <n v="0"/>
    <n v="0"/>
    <n v="0"/>
    <n v="0"/>
    <n v="0"/>
    <s v="Normal"/>
    <n v="2549913"/>
    <s v="GRUPO MULTI S.A"/>
  </r>
  <r>
    <n v="1"/>
    <n v="733"/>
    <n v="0"/>
    <s v="ONU FINDER PRO REDEX | ICMS 377,67 | DIFAL 1748,45"/>
    <d v="2025-03-11T00:00:00"/>
    <n v="5208"/>
    <n v="1"/>
    <n v="10"/>
    <x v="119"/>
    <n v="75.53"/>
    <x v="105"/>
    <n v="8157.57"/>
    <n v="0"/>
    <n v="0"/>
    <n v="0"/>
    <n v="0"/>
    <n v="0"/>
    <n v="0"/>
    <n v="0"/>
    <n v="0"/>
    <s v="Normal"/>
    <n v="34057"/>
    <s v="REDEX TELECOMUNICACOES LTDA."/>
  </r>
  <r>
    <n v="3"/>
    <n v="745"/>
    <n v="0"/>
    <s v="ONU ZTE GPON WIFI6 AX3000 F6600P NOVACIA | ICMS 27.912,85 |"/>
    <d v="2025-04-15T00:00:00"/>
    <n v="5208"/>
    <n v="500"/>
    <n v="10"/>
    <x v="120"/>
    <n v="1059.6500000000001"/>
    <x v="106"/>
    <n v="114937.17"/>
    <n v="0"/>
    <n v="0"/>
    <n v="0"/>
    <n v="0"/>
    <n v="0"/>
    <n v="0"/>
    <n v="0"/>
    <n v="0"/>
    <s v="Normal"/>
    <n v="2625619"/>
    <s v="GRUPO MULTI S.A"/>
  </r>
  <r>
    <n v="3"/>
    <n v="746"/>
    <n v="0"/>
    <s v="ROTEADOR AC1200 MESH ZTE H199A ONITEL | ICMS 3.058,48|"/>
    <d v="2025-04-10T00:00:00"/>
    <n v="5208"/>
    <n v="250"/>
    <n v="10"/>
    <x v="121"/>
    <n v="338.61"/>
    <x v="107"/>
    <n v="36671.19"/>
    <n v="0"/>
    <n v="0"/>
    <n v="0"/>
    <n v="0"/>
    <n v="0"/>
    <n v="0"/>
    <n v="0"/>
    <n v="0"/>
    <s v="Normal"/>
    <n v="2613564"/>
    <s v="GRUPO MULTI S.A"/>
  </r>
  <r>
    <n v="3"/>
    <n v="747"/>
    <n v="0"/>
    <s v="ONU ZTE GPON WIFI6 AX3000 F6600P ONITEL | ICMS 63.910,69|"/>
    <d v="2025-04-10T00:00:00"/>
    <n v="5208"/>
    <n v="2976"/>
    <n v="10"/>
    <x v="122"/>
    <n v="7020.07"/>
    <x v="108"/>
    <n v="760273.37"/>
    <n v="0"/>
    <n v="0"/>
    <n v="0"/>
    <n v="0"/>
    <n v="0"/>
    <n v="0"/>
    <n v="0"/>
    <n v="0"/>
    <s v="Normal"/>
    <n v="2613564"/>
    <s v="GRUPO MULTI S.A"/>
  </r>
  <r>
    <n v="1"/>
    <n v="748"/>
    <n v="0"/>
    <s v="CORDAO MONOFIBRA CONECTORIZADO SM BLI G-657A2 SC-APC/SC-UPC 2.5m - LSZH - AZUL |ICMS 28,66 | DIFAL 60,66|"/>
    <d v="2025-04-17T00:00:00"/>
    <n v="5208"/>
    <n v="19"/>
    <n v="10"/>
    <x v="123"/>
    <n v="3.17"/>
    <x v="109"/>
    <n v="344.43"/>
    <n v="0"/>
    <n v="0"/>
    <n v="0"/>
    <n v="0"/>
    <n v="0"/>
    <n v="0"/>
    <n v="0"/>
    <n v="0"/>
    <s v="Normal"/>
    <n v="805314"/>
    <s v="Lightera LatAm S.A."/>
  </r>
  <r>
    <n v="1"/>
    <n v="749"/>
    <n v="0"/>
    <s v="CORDAO MONOFIBRA CONECTORIZADO SM BLI G-657A2 SC-APC/SC-UPC 2.5m - LSZH - AZUL |ICMS 75,43| DIFAL 159,64|"/>
    <d v="2025-04-17T00:00:00"/>
    <n v="5208"/>
    <n v="50"/>
    <n v="10"/>
    <x v="124"/>
    <n v="8.35"/>
    <x v="110"/>
    <n v="906.39"/>
    <n v="0"/>
    <n v="0"/>
    <n v="0"/>
    <n v="0"/>
    <n v="0"/>
    <n v="0"/>
    <n v="0"/>
    <n v="0"/>
    <s v="Normal"/>
    <n v="805314"/>
    <s v="Lightera LatAm S.A."/>
  </r>
  <r>
    <n v="1"/>
    <n v="750"/>
    <n v="0"/>
    <s v="CORDAO DUPLEX CONECTORIZADO SM BLI G-657A2 LC-UPC/LC-UPC 5.0m - LSZH - AZUL (A - B) | ICMS 134,02 | DIFAL 283,64|"/>
    <d v="2025-04-24T00:00:00"/>
    <n v="5208"/>
    <n v="36"/>
    <n v="10"/>
    <x v="125"/>
    <n v="14.84"/>
    <x v="111"/>
    <n v="1613.89"/>
    <n v="0"/>
    <n v="0"/>
    <n v="0"/>
    <n v="0"/>
    <n v="0"/>
    <n v="0"/>
    <n v="0"/>
    <n v="0"/>
    <s v="Normal"/>
    <n v="805917"/>
    <s v="Lightera LatAm S.A."/>
  </r>
  <r>
    <n v="1"/>
    <n v="751"/>
    <n v="0"/>
    <s v="CORDAO MONOFIBRA CONECTORIZADO SM BLI G-657A2 SC-APC/SC-UPC 2.5m - LSZH - AZUL | ICMS 197,63 | DIFAL 418,26|"/>
    <d v="2025-04-24T00:00:00"/>
    <n v="5208"/>
    <n v="131"/>
    <n v="10"/>
    <x v="126"/>
    <n v="21.88"/>
    <x v="112"/>
    <n v="2379.83"/>
    <n v="0"/>
    <n v="0"/>
    <n v="0"/>
    <n v="0"/>
    <n v="0"/>
    <n v="0"/>
    <n v="0"/>
    <n v="0"/>
    <s v="Normal"/>
    <n v="805941"/>
    <s v="Lightera LatAm S.A."/>
  </r>
  <r>
    <n v="1"/>
    <n v="756"/>
    <n v="0"/>
    <s v="Modulo Eletrico tipo SFP, ETH, 1.25G, com conector tipo RJ45| ICMS 45,13 | DIFAL 208,54|"/>
    <d v="2025-04-16T00:00:00"/>
    <n v="5208"/>
    <n v="10"/>
    <n v="10"/>
    <x v="127"/>
    <n v="9.0299999999999994"/>
    <x v="113"/>
    <n v="979.36"/>
    <n v="0"/>
    <n v="0"/>
    <n v="0"/>
    <n v="0"/>
    <n v="0"/>
    <n v="0"/>
    <n v="0"/>
    <n v="0"/>
    <s v="Normal"/>
    <n v="285279"/>
    <s v="TERACOM TELEMATICA S.A."/>
  </r>
  <r>
    <n v="1"/>
    <n v="763"/>
    <n v="0"/>
    <s v="CONECTOR Q4 CLICK SC APC | ICMS 15.162,00"/>
    <d v="2025-04-08T00:00:00"/>
    <n v="5208"/>
    <n v="20000"/>
    <n v="10"/>
    <x v="128"/>
    <n v="538.65"/>
    <x v="114"/>
    <n v="58299.9"/>
    <n v="0"/>
    <n v="0"/>
    <n v="0"/>
    <n v="0"/>
    <n v="0"/>
    <n v="0"/>
    <n v="0"/>
    <n v="0"/>
    <s v="Normal"/>
    <n v="1546"/>
    <s v="ELETRO-AR COMERCIO E REFRIGERACAO LTDA"/>
  </r>
  <r>
    <n v="3"/>
    <n v="769"/>
    <n v="0"/>
    <s v="ROTEADOR AC1200 MESH ZTE H199A ONITEL (CIAP 3.058,48)"/>
    <d v="2025-05-15T00:00:00"/>
    <n v="5208"/>
    <n v="250"/>
    <n v="10"/>
    <x v="121"/>
    <n v="338.61"/>
    <x v="115"/>
    <n v="37061.14"/>
    <n v="0"/>
    <n v="0"/>
    <n v="0"/>
    <n v="0"/>
    <n v="0"/>
    <n v="0"/>
    <n v="0"/>
    <n v="0"/>
    <s v="Normal"/>
    <n v="2711938"/>
    <s v="GRUPO MULTI S.A"/>
  </r>
  <r>
    <n v="3"/>
    <n v="770"/>
    <n v="0"/>
    <s v="ONU ZTE GPON WIFI6 AX3000 F6600P ONITEL"/>
    <d v="2025-05-15T00:00:00"/>
    <n v="5208"/>
    <n v="1"/>
    <n v="10"/>
    <x v="129"/>
    <n v="7020.98"/>
    <x v="116"/>
    <n v="768457.31"/>
    <n v="0"/>
    <n v="0"/>
    <n v="0"/>
    <n v="0"/>
    <n v="0"/>
    <n v="0"/>
    <n v="0"/>
    <n v="0"/>
    <s v="Normal"/>
    <n v="2711938"/>
    <s v="GRUPO MULTI S.A"/>
  </r>
  <r>
    <n v="3"/>
    <n v="770"/>
    <n v="1"/>
    <s v="ONU ZTE GPON WIFI AAA"/>
    <d v="2025-05-15T00:00:00"/>
    <n v="5208"/>
    <n v="1"/>
    <n v="10"/>
    <x v="130"/>
    <n v="61.27"/>
    <x v="117"/>
    <n v="6706.55"/>
    <n v="0"/>
    <n v="0"/>
    <n v="0"/>
    <n v="0"/>
    <n v="0"/>
    <n v="0"/>
    <n v="0"/>
    <n v="0"/>
    <s v="Normal"/>
    <n v="2711938"/>
    <s v="GRUPO MULTI S.A"/>
  </r>
  <r>
    <n v="3"/>
    <n v="789"/>
    <n v="0"/>
    <s v="ONU ZTE GPON WIFI6 AX3000 F6600P ONITEL | ICMS 111.952,40 |"/>
    <d v="2025-06-09T00:00:00"/>
    <n v="5208"/>
    <n v="5000"/>
    <n v="10"/>
    <x v="131"/>
    <n v="12394.35"/>
    <x v="118"/>
    <n v="1366683.65"/>
    <n v="0"/>
    <n v="0"/>
    <n v="0"/>
    <n v="0"/>
    <n v="0"/>
    <n v="0"/>
    <n v="0"/>
    <n v="0"/>
    <s v="Normal"/>
    <n v="2790914"/>
    <s v="GRUPO MULTI S.A"/>
  </r>
  <r>
    <n v="1"/>
    <n v="790"/>
    <n v="0"/>
    <s v="CONECTOR Q4 CLICK SC APC | ICMS 15.162,00|"/>
    <d v="2025-06-03T00:00:00"/>
    <n v="5208"/>
    <n v="20000"/>
    <n v="10"/>
    <x v="128"/>
    <n v="538.65"/>
    <x v="119"/>
    <n v="59287.42"/>
    <n v="0"/>
    <n v="0"/>
    <n v="0"/>
    <n v="0"/>
    <n v="0"/>
    <n v="0"/>
    <n v="0"/>
    <n v="0"/>
    <s v="Normal"/>
    <n v="1549"/>
    <s v="ELETRO-AR COMERCIO E REFRIGERACAO LTDA"/>
  </r>
  <r>
    <n v="1"/>
    <n v="819"/>
    <n v="0"/>
    <s v="CIANET Software Modem ONU GPON Bridge_x000d__x000a_1GE_x000d_"/>
    <d v="2025-08-16T00:00:00"/>
    <n v="5208"/>
    <n v="100"/>
    <n v="10"/>
    <x v="132"/>
    <n v="11.98"/>
    <x v="120"/>
    <n v="1347"/>
    <n v="0"/>
    <n v="0"/>
    <n v="0"/>
    <n v="0"/>
    <n v="0"/>
    <n v="0"/>
    <n v="0"/>
    <n v="0"/>
    <s v="Normal"/>
    <n v="353937"/>
    <s v="NOVA WEB"/>
  </r>
  <r>
    <n v="1"/>
    <n v="825"/>
    <n v="0"/>
    <s v="OVERTEK CABO DROP 1 FO 1 KM Fonte da_x000d__x000a_Carga Tributaria: IBPT"/>
    <d v="2025-08-16T00:00:00"/>
    <n v="5208"/>
    <n v="2"/>
    <n v="10"/>
    <x v="133"/>
    <n v="3.3"/>
    <x v="121"/>
    <n v="371.68"/>
    <n v="0"/>
    <n v="0"/>
    <n v="0"/>
    <n v="0"/>
    <n v="0"/>
    <n v="0"/>
    <n v="0"/>
    <n v="0"/>
    <s v="Normal"/>
    <n v="353937"/>
    <s v="NOVA WEB"/>
  </r>
  <r>
    <n v="1"/>
    <n v="828"/>
    <n v="0"/>
    <s v="CONECTOR CLICK OSP2 STD SC/APC G150 A150 (VLR R$24.330,80 + IPI R$2.372,25 + DIFAL R$4945,01 - CIAP R$6.013,13)"/>
    <d v="2025-09-22T00:00:00"/>
    <n v="5208"/>
    <n v="9358"/>
    <n v="10"/>
    <x v="134"/>
    <n v="213.63"/>
    <x v="122"/>
    <n v="24289.08"/>
    <n v="0"/>
    <n v="0"/>
    <n v="0"/>
    <n v="0"/>
    <n v="0"/>
    <n v="0"/>
    <n v="0"/>
    <n v="0"/>
    <s v="Normal"/>
    <n v="732"/>
    <s v="REDEX TELECOMUNICACOES LTDA"/>
  </r>
  <r>
    <n v="1"/>
    <n v="829"/>
    <n v="0"/>
    <s v="CONECTOR CLICK OSP2 STD SC/APC G150 A150 (VLR R$14.669,20 + IPI R$1.430,25 + DIFAL R$2.981,38 - CIAP R$3.625,36)"/>
    <d v="2025-09-22T00:00:00"/>
    <n v="5208"/>
    <n v="5642"/>
    <n v="10"/>
    <x v="135"/>
    <n v="128.79"/>
    <x v="123"/>
    <n v="14644.07"/>
    <n v="0"/>
    <n v="0"/>
    <n v="0"/>
    <n v="0"/>
    <n v="0"/>
    <n v="0"/>
    <n v="0"/>
    <n v="0"/>
    <s v="Normal"/>
    <n v="732"/>
    <s v="REDEX TELECOMUNICACOES LTDA"/>
  </r>
  <r>
    <n v="1"/>
    <n v="833"/>
    <n v="0"/>
    <s v="CONECTOR DE CAMPO T CLICK SC/APC A0000 G0150 (vlr R$57.948 + DIFAL R$10.731,11 - CIAP R$13.049,03"/>
    <d v="2025-07-15T00:00:00"/>
    <n v="5208"/>
    <n v="7000"/>
    <n v="10"/>
    <x v="136"/>
    <n v="149.69999999999999"/>
    <x v="124"/>
    <n v="16684.189999999999"/>
    <n v="0"/>
    <n v="0"/>
    <n v="0"/>
    <n v="0"/>
    <n v="0"/>
    <n v="0"/>
    <n v="0"/>
    <n v="0"/>
    <s v="Normal"/>
    <n v="8166"/>
    <s v="REDEX - RDX TELECOMUNICACOES LTDA"/>
  </r>
  <r>
    <n v="1"/>
    <n v="877"/>
    <n v="0"/>
    <s v="ONU ZTE GPON WIFI6 AX3000 F6600P ONITEL"/>
    <d v="2025-11-29T00:00:00"/>
    <n v="5208"/>
    <n v="500"/>
    <n v="10"/>
    <x v="137"/>
    <n v="1322.95"/>
    <x v="125"/>
    <n v="153373.76000000001"/>
    <n v="0"/>
    <n v="0"/>
    <n v="0"/>
    <n v="0"/>
    <n v="0"/>
    <n v="0"/>
    <n v="0"/>
    <n v="0"/>
    <s v="Normal"/>
    <n v="3221542"/>
    <s v="GRUPO MULTI S.A"/>
  </r>
  <r>
    <n v="1"/>
    <n v="878"/>
    <n v="0"/>
    <s v="ONU ZTE GPON WIFI6 AX3000 F6600P NOVACIA"/>
    <d v="2025-11-29T00:00:00"/>
    <n v="5208"/>
    <n v="1500"/>
    <n v="10"/>
    <x v="138"/>
    <n v="3704.62"/>
    <x v="126"/>
    <n v="429489.53"/>
    <n v="0"/>
    <n v="0"/>
    <n v="0"/>
    <n v="0"/>
    <n v="0"/>
    <n v="0"/>
    <n v="0"/>
    <n v="0"/>
    <s v="Normal"/>
    <n v="3221542"/>
    <s v="GRUPO MULTI S.A"/>
  </r>
  <r>
    <n v="1"/>
    <n v="882"/>
    <n v="0"/>
    <s v="CONECTOR CLICK OSP2 STD SC/APC G150 A150 (VALOR TOTAL 53.800,00 + DIF. ALIQ 9.962,96 - CIAP 12.114,96)"/>
    <d v="2026-01-06T00:00:00"/>
    <n v="5208"/>
    <n v="20000"/>
    <n v="10"/>
    <x v="139"/>
    <n v="430.4"/>
    <x v="127"/>
    <n v="50426.23"/>
    <n v="0"/>
    <n v="0"/>
    <n v="0"/>
    <n v="0"/>
    <n v="0"/>
    <n v="0"/>
    <n v="0"/>
    <n v="0"/>
    <s v="Normal"/>
    <n v="1062"/>
    <s v="REDEX TELECOMUNICACOES LTDA"/>
  </r>
  <r>
    <n v="3"/>
    <n v="909"/>
    <n v="0"/>
    <s v="ONU ZTE GPON WIFI6 AX3000 F6600P ONITEL ( VALOR TOTAL 518.758,88 - CIAP 36.314,16)"/>
    <d v="2026-03-03T00:00:00"/>
    <n v="5208"/>
    <n v="1"/>
    <n v="10"/>
    <x v="140"/>
    <n v="3761"/>
    <x v="128"/>
    <n v="478683.72"/>
    <n v="0"/>
    <n v="0"/>
    <n v="0"/>
    <n v="0"/>
    <n v="0"/>
    <n v="0"/>
    <n v="0"/>
    <n v="0"/>
    <s v="Normal"/>
    <n v="3380763"/>
    <s v="GRUPO MULTI S.A"/>
  </r>
  <r>
    <n v="3"/>
    <n v="911"/>
    <n v="0"/>
    <s v="ROTEADOR AC1200 MESH ZTE H199A ONITEL"/>
    <d v="2026-03-27T00:00:00"/>
    <n v="5208"/>
    <n v="1"/>
    <n v="10"/>
    <x v="141"/>
    <n v="140.34"/>
    <x v="129"/>
    <n v="104277.38"/>
    <n v="0"/>
    <n v="0"/>
    <n v="0"/>
    <n v="0"/>
    <n v="0"/>
    <n v="0"/>
    <n v="0"/>
    <n v="0"/>
    <s v="Normal"/>
    <n v="3426819"/>
    <s v="GRUPO MULTI S.A"/>
  </r>
  <r>
    <n v="3"/>
    <n v="912"/>
    <n v="0"/>
    <s v="ONT GPON F6201B V9.3 WIFI6 AX3000 ONITEL"/>
    <d v="2026-03-31T00:00:00"/>
    <n v="5208"/>
    <n v="1"/>
    <n v="10"/>
    <x v="142"/>
    <n v="140.07"/>
    <x v="130"/>
    <n v="520943.81"/>
    <n v="0"/>
    <n v="0"/>
    <n v="0"/>
    <n v="0"/>
    <n v="0"/>
    <n v="0"/>
    <n v="0"/>
    <n v="0"/>
    <s v="Normal"/>
    <n v="3431593"/>
    <s v="GRUPO MULTI S.A"/>
  </r>
  <r>
    <n v="1"/>
    <n v="921"/>
    <n v="0"/>
    <s v="ONU ZTE GPON WIFI6 AX3000 F6600P ONITEL"/>
    <d v="2026-01-29T00:00:00"/>
    <n v="5208"/>
    <n v="990"/>
    <n v="10"/>
    <x v="143"/>
    <n v="5265.33"/>
    <x v="131"/>
    <n v="620799.73"/>
    <n v="0"/>
    <n v="0"/>
    <n v="0"/>
    <n v="0"/>
    <n v="0"/>
    <n v="0"/>
    <n v="0"/>
    <n v="0"/>
    <s v="Normal"/>
    <n v="3319372"/>
    <s v="GRUPO MULTI S.A"/>
  </r>
  <r>
    <n v="1"/>
    <n v="921"/>
    <n v="1"/>
    <s v="ONU ZTE GPON WIFI6 AX3000 F6600P ONITE"/>
    <d v="2026-01-29T00:00:00"/>
    <n v="5208"/>
    <n v="10"/>
    <n v="10"/>
    <x v="144"/>
    <n v="26.46"/>
    <x v="132"/>
    <n v="3119.57"/>
    <n v="0"/>
    <n v="0"/>
    <n v="0"/>
    <n v="0"/>
    <n v="0"/>
    <n v="0"/>
    <n v="0"/>
    <n v="0"/>
    <s v="Normal"/>
    <n v="3319372"/>
    <s v="GRUPO MULTI S.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60FBB6-B5BB-4D65-846C-0ACAA54D6C74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" firstHeaderRow="0" firstDataRow="1" firstDataCol="0"/>
  <pivotFields count="23">
    <pivotField showAll="0"/>
    <pivotField showAll="0"/>
    <pivotField showAll="0"/>
    <pivotField showAll="0"/>
    <pivotField numFmtId="14" showAll="0"/>
    <pivotField showAll="0"/>
    <pivotField showAll="0"/>
    <pivotField showAll="0"/>
    <pivotField dataField="1" showAll="0">
      <items count="146">
        <item x="10"/>
        <item x="41"/>
        <item x="20"/>
        <item x="32"/>
        <item x="44"/>
        <item x="37"/>
        <item x="71"/>
        <item x="50"/>
        <item x="123"/>
        <item x="133"/>
        <item x="72"/>
        <item x="96"/>
        <item x="110"/>
        <item x="26"/>
        <item x="70"/>
        <item x="51"/>
        <item x="19"/>
        <item x="69"/>
        <item x="8"/>
        <item x="57"/>
        <item x="43"/>
        <item x="5"/>
        <item x="33"/>
        <item x="53"/>
        <item x="124"/>
        <item x="101"/>
        <item x="95"/>
        <item x="127"/>
        <item x="55"/>
        <item x="48"/>
        <item x="85"/>
        <item x="132"/>
        <item x="54"/>
        <item x="89"/>
        <item x="36"/>
        <item x="3"/>
        <item x="125"/>
        <item x="56"/>
        <item x="0"/>
        <item x="126"/>
        <item x="52"/>
        <item x="144"/>
        <item x="64"/>
        <item x="47"/>
        <item x="1"/>
        <item x="75"/>
        <item x="61"/>
        <item x="73"/>
        <item x="60"/>
        <item x="130"/>
        <item x="99"/>
        <item x="119"/>
        <item x="87"/>
        <item x="77"/>
        <item x="79"/>
        <item x="94"/>
        <item x="66"/>
        <item x="103"/>
        <item x="49"/>
        <item x="106"/>
        <item x="4"/>
        <item x="135"/>
        <item x="109"/>
        <item x="136"/>
        <item x="65"/>
        <item x="102"/>
        <item x="23"/>
        <item x="27"/>
        <item x="134"/>
        <item x="90"/>
        <item x="9"/>
        <item x="74"/>
        <item x="12"/>
        <item x="7"/>
        <item x="40"/>
        <item x="30"/>
        <item x="86"/>
        <item x="24"/>
        <item x="29"/>
        <item x="16"/>
        <item x="67"/>
        <item x="2"/>
        <item x="121"/>
        <item x="39"/>
        <item x="35"/>
        <item x="139"/>
        <item x="91"/>
        <item x="6"/>
        <item x="128"/>
        <item x="114"/>
        <item x="117"/>
        <item x="111"/>
        <item x="80"/>
        <item x="18"/>
        <item x="13"/>
        <item x="141"/>
        <item x="120"/>
        <item x="42"/>
        <item x="137"/>
        <item x="62"/>
        <item x="22"/>
        <item x="31"/>
        <item x="92"/>
        <item x="63"/>
        <item x="84"/>
        <item x="81"/>
        <item x="11"/>
        <item x="83"/>
        <item x="82"/>
        <item x="34"/>
        <item x="28"/>
        <item x="38"/>
        <item x="88"/>
        <item x="97"/>
        <item x="112"/>
        <item x="14"/>
        <item x="107"/>
        <item x="17"/>
        <item x="58"/>
        <item x="76"/>
        <item x="46"/>
        <item x="59"/>
        <item x="68"/>
        <item x="45"/>
        <item x="138"/>
        <item x="93"/>
        <item x="104"/>
        <item x="105"/>
        <item x="98"/>
        <item x="78"/>
        <item x="140"/>
        <item x="142"/>
        <item x="113"/>
        <item x="21"/>
        <item x="100"/>
        <item x="15"/>
        <item x="143"/>
        <item x="25"/>
        <item x="108"/>
        <item x="122"/>
        <item x="129"/>
        <item x="118"/>
        <item x="116"/>
        <item x="115"/>
        <item x="131"/>
        <item t="default"/>
      </items>
    </pivotField>
    <pivotField showAll="0"/>
    <pivotField dataField="1" showAll="0">
      <items count="134">
        <item x="10"/>
        <item x="121"/>
        <item x="20"/>
        <item x="109"/>
        <item x="132"/>
        <item x="55"/>
        <item x="96"/>
        <item x="120"/>
        <item x="110"/>
        <item x="34"/>
        <item x="113"/>
        <item x="82"/>
        <item x="56"/>
        <item x="130"/>
        <item x="129"/>
        <item x="54"/>
        <item x="53"/>
        <item x="111"/>
        <item x="35"/>
        <item x="87"/>
        <item x="41"/>
        <item x="81"/>
        <item x="26"/>
        <item x="112"/>
        <item x="19"/>
        <item x="69"/>
        <item x="37"/>
        <item x="5"/>
        <item x="31"/>
        <item x="8"/>
        <item x="74"/>
        <item x="39"/>
        <item x="38"/>
        <item x="117"/>
        <item x="40"/>
        <item x="3"/>
        <item x="123"/>
        <item x="71"/>
        <item x="48"/>
        <item x="105"/>
        <item x="59"/>
        <item x="36"/>
        <item x="0"/>
        <item x="45"/>
        <item x="127"/>
        <item x="124"/>
        <item x="122"/>
        <item x="57"/>
        <item x="85"/>
        <item x="44"/>
        <item x="1"/>
        <item x="92"/>
        <item x="89"/>
        <item x="72"/>
        <item x="80"/>
        <item x="63"/>
        <item x="61"/>
        <item x="95"/>
        <item x="50"/>
        <item x="115"/>
        <item x="128"/>
        <item x="107"/>
        <item x="33"/>
        <item x="88"/>
        <item x="79"/>
        <item x="119"/>
        <item x="125"/>
        <item x="75"/>
        <item x="49"/>
        <item x="4"/>
        <item x="114"/>
        <item x="58"/>
        <item x="70"/>
        <item x="103"/>
        <item x="100"/>
        <item x="27"/>
        <item x="76"/>
        <item x="131"/>
        <item x="23"/>
        <item x="97"/>
        <item x="51"/>
        <item x="106"/>
        <item x="9"/>
        <item x="12"/>
        <item x="30"/>
        <item x="126"/>
        <item x="7"/>
        <item x="29"/>
        <item x="16"/>
        <item x="24"/>
        <item x="2"/>
        <item x="64"/>
        <item x="6"/>
        <item x="25"/>
        <item x="18"/>
        <item x="98"/>
        <item x="77"/>
        <item x="46"/>
        <item x="13"/>
        <item x="93"/>
        <item x="83"/>
        <item x="73"/>
        <item x="68"/>
        <item x="65"/>
        <item x="67"/>
        <item x="66"/>
        <item x="47"/>
        <item x="116"/>
        <item x="90"/>
        <item x="91"/>
        <item x="99"/>
        <item x="108"/>
        <item x="22"/>
        <item x="60"/>
        <item x="84"/>
        <item x="78"/>
        <item x="104"/>
        <item x="102"/>
        <item x="52"/>
        <item x="94"/>
        <item x="28"/>
        <item x="42"/>
        <item x="43"/>
        <item x="86"/>
        <item x="62"/>
        <item x="11"/>
        <item x="118"/>
        <item x="32"/>
        <item x="17"/>
        <item x="101"/>
        <item x="14"/>
        <item x="21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oma de Valor" fld="8" baseField="0" baseItem="0"/>
    <dataField name="Soma de Total Encargos" fld="10" baseField="0" baseItem="0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EAADF4E-5D70-4D21-80DA-E10C9B022896}" autoFormatId="16" applyNumberFormats="0" applyBorderFormats="0" applyFontFormats="0" applyPatternFormats="0" applyAlignmentFormats="0" applyWidthHeightFormats="0">
  <queryTableRefresh nextId="24">
    <queryTableFields count="23">
      <queryTableField id="1" name="Estabelecimento" tableColumnId="1"/>
      <queryTableField id="2" name="Número Bem" tableColumnId="2"/>
      <queryTableField id="3" name="Adição" tableColumnId="3"/>
      <queryTableField id="4" name="Descrição" tableColumnId="4"/>
      <queryTableField id="5" name="Data Aquisição" tableColumnId="5"/>
      <queryTableField id="6" name="Conta Contábil" tableColumnId="6"/>
      <queryTableField id="7" name="Quantidade" tableColumnId="7"/>
      <queryTableField id="8" name="Percentual Encargo" tableColumnId="8"/>
      <queryTableField id="9" name="Valor" tableColumnId="9"/>
      <queryTableField id="10" name="Encargos Mês" tableColumnId="10"/>
      <queryTableField id="11" name="Total Encargos" tableColumnId="11"/>
      <queryTableField id="12" name="Residual" tableColumnId="12"/>
      <queryTableField id="13" name="Valor Societário" tableColumnId="13"/>
      <queryTableField id="14" name="Encargos Mês_1" tableColumnId="14"/>
      <queryTableField id="15" name="Total Encargos_2" tableColumnId="15"/>
      <queryTableField id="16" name="Residual_3" tableColumnId="16"/>
      <queryTableField id="17" name="Valor Justo" tableColumnId="17"/>
      <queryTableField id="18" name="Encargos Mês_4" tableColumnId="18"/>
      <queryTableField id="19" name="Total Encargos_5" tableColumnId="19"/>
      <queryTableField id="20" name="Residual_6" tableColumnId="20"/>
      <queryTableField id="21" name="Situação" tableColumnId="21"/>
      <queryTableField id="22" name="Número NF" tableColumnId="22"/>
      <queryTableField id="23" name="Fornecedo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6A49D1-46BB-4E92-9854-6E1D9829B1AB}" name="Bens_Ativos___03_2026___Onitel" displayName="Bens_Ativos___03_2026___Onitel" ref="A1:W156" tableType="queryTable" totalsRowCount="1">
  <autoFilter ref="A1:W155" xr:uid="{926A49D1-46BB-4E92-9854-6E1D9829B1AB}"/>
  <tableColumns count="23">
    <tableColumn id="1" xr3:uid="{D74AAA68-E59F-4581-B7E2-FA82809C045B}" uniqueName="1" name="Estabelecimento" queryTableFieldId="1"/>
    <tableColumn id="2" xr3:uid="{CC85CC44-A6BF-43B1-A922-3ED507509BB7}" uniqueName="2" name="Número Bem" queryTableFieldId="2"/>
    <tableColumn id="3" xr3:uid="{9D560CDD-5FA3-45BC-B6DA-B3D87BCE3A49}" uniqueName="3" name="Adição" queryTableFieldId="3"/>
    <tableColumn id="4" xr3:uid="{FF5D11BB-D554-45DC-B170-2CC4181F9058}" uniqueName="4" name="Descrição" queryTableFieldId="4" dataDxfId="8" totalsRowDxfId="3"/>
    <tableColumn id="5" xr3:uid="{B2484204-D1FB-4802-85BB-E87BF255B91F}" uniqueName="5" name="Data Aquisição" queryTableFieldId="5" dataDxfId="7" totalsRowDxfId="2"/>
    <tableColumn id="6" xr3:uid="{9D6C6E82-82C6-4DC2-AFC3-22DB207AF17B}" uniqueName="6" name="Conta Contábil" queryTableFieldId="6"/>
    <tableColumn id="7" xr3:uid="{318CC672-784D-457D-A59D-8ACECA22D991}" uniqueName="7" name="Quantidade" queryTableFieldId="7"/>
    <tableColumn id="8" xr3:uid="{CB2B96B9-CB43-4605-BCB9-A6558A295E96}" uniqueName="8" name="Percentual Encargo" queryTableFieldId="8"/>
    <tableColumn id="9" xr3:uid="{81460347-6F74-47E5-8AB3-348691D08E3F}" uniqueName="9" name="Valor" queryTableFieldId="9"/>
    <tableColumn id="10" xr3:uid="{8D005540-6E68-4BB7-A91D-35E6F763DA75}" uniqueName="10" name="Encargos Mês" queryTableFieldId="10"/>
    <tableColumn id="11" xr3:uid="{AC38C7E6-E762-4F3B-A85A-82C999629F1C}" uniqueName="11" name="Total Encargos" queryTableFieldId="11"/>
    <tableColumn id="12" xr3:uid="{6A1668B8-7F94-4321-9DF3-2D541C931E86}" uniqueName="12" name="Residual" queryTableFieldId="12"/>
    <tableColumn id="13" xr3:uid="{8D8D7DA6-9D52-404D-B4F5-41E6C6FF7D0C}" uniqueName="13" name="Valor Societário" queryTableFieldId="13"/>
    <tableColumn id="14" xr3:uid="{C2BF8D87-1840-46F7-883A-BDFE72619993}" uniqueName="14" name="Encargos Mês_1" queryTableFieldId="14"/>
    <tableColumn id="15" xr3:uid="{2E99FA85-0E75-4AA0-9BDA-D742DA729E7C}" uniqueName="15" name="Total Encargos_2" queryTableFieldId="15"/>
    <tableColumn id="16" xr3:uid="{2F5F600B-2FB1-42F6-B00A-D22DF237778F}" uniqueName="16" name="Residual_3" queryTableFieldId="16"/>
    <tableColumn id="17" xr3:uid="{871DD669-B51F-4629-AB4D-0433E593D137}" uniqueName="17" name="Valor Justo" queryTableFieldId="17"/>
    <tableColumn id="18" xr3:uid="{D01F9EE5-CE5F-407D-8CAE-42DA0A96883E}" uniqueName="18" name="Encargos Mês_4" queryTableFieldId="18"/>
    <tableColumn id="19" xr3:uid="{C87C4EC5-4DD0-4301-978B-CD567037DB88}" uniqueName="19" name="Total Encargos_5" queryTableFieldId="19"/>
    <tableColumn id="20" xr3:uid="{E16AA31F-FCA1-4BA1-82D3-4C46FDAD054F}" uniqueName="20" name="Residual_6" queryTableFieldId="20"/>
    <tableColumn id="21" xr3:uid="{42564E07-81CA-4F60-A417-24F247B04B19}" uniqueName="21" name="Situação" queryTableFieldId="21" dataDxfId="6" totalsRowDxfId="1"/>
    <tableColumn id="22" xr3:uid="{4DE7B45D-9324-4B46-9E43-9D5E6A299EC3}" uniqueName="22" name="Número NF" queryTableFieldId="22"/>
    <tableColumn id="23" xr3:uid="{742A07EE-3532-48F3-AFD6-A772BEE1E8A7}" uniqueName="23" name="Fornecedor" queryTableFieldId="23" dataDxfId="5" totalsRow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7B6E-E0FB-432B-BD62-68EFED184B58}">
  <dimension ref="A3:C4"/>
  <sheetViews>
    <sheetView tabSelected="1" workbookViewId="0">
      <selection activeCell="E15" sqref="E15"/>
    </sheetView>
  </sheetViews>
  <sheetFormatPr defaultRowHeight="14.4" x14ac:dyDescent="0.3"/>
  <cols>
    <col min="1" max="1" width="16.21875" bestFit="1" customWidth="1"/>
    <col min="2" max="2" width="20.6640625" bestFit="1" customWidth="1"/>
    <col min="3" max="3" width="16.5546875" bestFit="1" customWidth="1"/>
  </cols>
  <sheetData>
    <row r="3" spans="1:3" x14ac:dyDescent="0.3">
      <c r="A3" t="s">
        <v>184</v>
      </c>
      <c r="B3" t="s">
        <v>185</v>
      </c>
      <c r="C3" t="s">
        <v>186</v>
      </c>
    </row>
    <row r="4" spans="1:3" x14ac:dyDescent="0.3">
      <c r="A4" s="2">
        <v>24524857.849999994</v>
      </c>
      <c r="B4" s="2">
        <v>4205910.0899999989</v>
      </c>
      <c r="C4" s="4">
        <f>GETPIVOTDATA("Soma de Valor",$A$3)+GETPIVOTDATA("Soma de Total Encargos",$A$3)</f>
        <v>28730767.939999994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E089A-F12D-4D93-9C79-13CF93A11F51}">
  <dimension ref="A1:W156"/>
  <sheetViews>
    <sheetView topLeftCell="A131" workbookViewId="0">
      <selection activeCell="I156" sqref="I156"/>
    </sheetView>
  </sheetViews>
  <sheetFormatPr defaultRowHeight="14.4" x14ac:dyDescent="0.3"/>
  <cols>
    <col min="1" max="1" width="17.21875" bestFit="1" customWidth="1"/>
    <col min="2" max="2" width="13.77734375" bestFit="1" customWidth="1"/>
    <col min="3" max="3" width="8.77734375" bestFit="1" customWidth="1"/>
    <col min="4" max="4" width="80.77734375" bestFit="1" customWidth="1"/>
    <col min="5" max="6" width="15.77734375" bestFit="1" customWidth="1"/>
    <col min="7" max="7" width="12.88671875" bestFit="1" customWidth="1"/>
    <col min="8" max="8" width="19.33203125" bestFit="1" customWidth="1"/>
    <col min="9" max="9" width="10.77734375" bestFit="1" customWidth="1"/>
    <col min="10" max="10" width="14.33203125" bestFit="1" customWidth="1"/>
    <col min="11" max="11" width="15.21875" bestFit="1" customWidth="1"/>
    <col min="12" max="12" width="10.77734375" bestFit="1" customWidth="1"/>
    <col min="13" max="14" width="16.21875" bestFit="1" customWidth="1"/>
    <col min="15" max="15" width="17" bestFit="1" customWidth="1"/>
    <col min="16" max="16" width="12.21875" bestFit="1" customWidth="1"/>
    <col min="17" max="17" width="12" bestFit="1" customWidth="1"/>
    <col min="18" max="18" width="16.21875" bestFit="1" customWidth="1"/>
    <col min="19" max="19" width="17" bestFit="1" customWidth="1"/>
    <col min="20" max="20" width="12.21875" bestFit="1" customWidth="1"/>
    <col min="21" max="21" width="12" bestFit="1" customWidth="1"/>
    <col min="22" max="22" width="12.33203125" bestFit="1" customWidth="1"/>
    <col min="23" max="23" width="52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>
        <v>1</v>
      </c>
      <c r="B2">
        <v>54</v>
      </c>
      <c r="C2">
        <v>0</v>
      </c>
      <c r="D2" t="s">
        <v>23</v>
      </c>
      <c r="E2" s="1">
        <v>44390</v>
      </c>
      <c r="F2">
        <v>1082</v>
      </c>
      <c r="G2">
        <v>100</v>
      </c>
      <c r="H2">
        <v>10</v>
      </c>
      <c r="I2">
        <v>2291.1</v>
      </c>
      <c r="J2">
        <v>19.09</v>
      </c>
      <c r="K2">
        <v>1080.8900000000001</v>
      </c>
      <c r="L2">
        <v>1210.21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t="s">
        <v>24</v>
      </c>
      <c r="V2">
        <v>572903</v>
      </c>
      <c r="W2" t="s">
        <v>25</v>
      </c>
    </row>
    <row r="3" spans="1:23" x14ac:dyDescent="0.3">
      <c r="A3">
        <v>1</v>
      </c>
      <c r="B3">
        <v>61</v>
      </c>
      <c r="C3">
        <v>0</v>
      </c>
      <c r="D3" t="s">
        <v>26</v>
      </c>
      <c r="E3" s="1">
        <v>44405</v>
      </c>
      <c r="F3">
        <v>1082</v>
      </c>
      <c r="G3">
        <v>100</v>
      </c>
      <c r="H3">
        <v>10</v>
      </c>
      <c r="I3">
        <v>3490</v>
      </c>
      <c r="J3">
        <v>29.08</v>
      </c>
      <c r="K3">
        <v>1632.43</v>
      </c>
      <c r="L3">
        <v>1857.57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 t="s">
        <v>24</v>
      </c>
      <c r="V3">
        <v>31890</v>
      </c>
      <c r="W3" t="s">
        <v>27</v>
      </c>
    </row>
    <row r="4" spans="1:23" x14ac:dyDescent="0.3">
      <c r="A4">
        <v>1</v>
      </c>
      <c r="B4">
        <v>63</v>
      </c>
      <c r="C4">
        <v>0</v>
      </c>
      <c r="D4" t="s">
        <v>28</v>
      </c>
      <c r="E4" s="1">
        <v>44428</v>
      </c>
      <c r="F4">
        <v>1082</v>
      </c>
      <c r="G4">
        <v>7</v>
      </c>
      <c r="H4">
        <v>10</v>
      </c>
      <c r="I4">
        <v>40600</v>
      </c>
      <c r="J4">
        <v>338.34</v>
      </c>
      <c r="K4">
        <v>18739.32</v>
      </c>
      <c r="L4">
        <v>21860.68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 t="s">
        <v>24</v>
      </c>
      <c r="V4">
        <v>41211</v>
      </c>
      <c r="W4" t="s">
        <v>29</v>
      </c>
    </row>
    <row r="5" spans="1:23" x14ac:dyDescent="0.3">
      <c r="A5">
        <v>1</v>
      </c>
      <c r="B5">
        <v>76</v>
      </c>
      <c r="C5">
        <v>0</v>
      </c>
      <c r="D5" t="s">
        <v>30</v>
      </c>
      <c r="E5" s="1">
        <v>44524</v>
      </c>
      <c r="F5">
        <v>1082</v>
      </c>
      <c r="G5">
        <v>300</v>
      </c>
      <c r="H5">
        <v>10</v>
      </c>
      <c r="I5">
        <v>1767</v>
      </c>
      <c r="J5">
        <v>14.73</v>
      </c>
      <c r="K5">
        <v>769.13</v>
      </c>
      <c r="L5">
        <v>997.87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t="s">
        <v>24</v>
      </c>
      <c r="V5">
        <v>16314</v>
      </c>
      <c r="W5" t="s">
        <v>31</v>
      </c>
    </row>
    <row r="6" spans="1:23" x14ac:dyDescent="0.3">
      <c r="A6">
        <v>1</v>
      </c>
      <c r="B6">
        <v>83</v>
      </c>
      <c r="C6">
        <v>0</v>
      </c>
      <c r="D6" t="s">
        <v>32</v>
      </c>
      <c r="E6" s="1">
        <v>44557</v>
      </c>
      <c r="F6">
        <v>1082</v>
      </c>
      <c r="G6">
        <v>100</v>
      </c>
      <c r="H6">
        <v>10</v>
      </c>
      <c r="I6">
        <v>14100</v>
      </c>
      <c r="J6">
        <v>117.5</v>
      </c>
      <c r="K6">
        <v>6011.45</v>
      </c>
      <c r="L6">
        <v>8088.55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 t="s">
        <v>24</v>
      </c>
      <c r="V6">
        <v>111867</v>
      </c>
      <c r="W6" t="s">
        <v>33</v>
      </c>
    </row>
    <row r="7" spans="1:23" x14ac:dyDescent="0.3">
      <c r="A7">
        <v>1</v>
      </c>
      <c r="B7">
        <v>137</v>
      </c>
      <c r="C7">
        <v>0</v>
      </c>
      <c r="D7" t="s">
        <v>34</v>
      </c>
      <c r="E7" s="1">
        <v>44595</v>
      </c>
      <c r="F7">
        <v>1082</v>
      </c>
      <c r="G7">
        <v>30</v>
      </c>
      <c r="H7">
        <v>10</v>
      </c>
      <c r="I7">
        <v>718.47</v>
      </c>
      <c r="J7">
        <v>5.98</v>
      </c>
      <c r="K7">
        <v>293.38</v>
      </c>
      <c r="L7">
        <v>425.09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 t="s">
        <v>24</v>
      </c>
      <c r="V7">
        <v>612004</v>
      </c>
      <c r="W7" t="s">
        <v>25</v>
      </c>
    </row>
    <row r="8" spans="1:23" x14ac:dyDescent="0.3">
      <c r="A8">
        <v>1</v>
      </c>
      <c r="B8">
        <v>138</v>
      </c>
      <c r="C8">
        <v>0</v>
      </c>
      <c r="D8" t="s">
        <v>32</v>
      </c>
      <c r="E8" s="1">
        <v>44601</v>
      </c>
      <c r="F8">
        <v>1082</v>
      </c>
      <c r="G8">
        <v>400</v>
      </c>
      <c r="H8">
        <v>10</v>
      </c>
      <c r="I8">
        <v>56399.99</v>
      </c>
      <c r="J8">
        <v>470</v>
      </c>
      <c r="K8">
        <v>23029.99</v>
      </c>
      <c r="L8">
        <v>33370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 t="s">
        <v>24</v>
      </c>
      <c r="V8">
        <v>114144</v>
      </c>
      <c r="W8" t="s">
        <v>33</v>
      </c>
    </row>
    <row r="9" spans="1:23" x14ac:dyDescent="0.3">
      <c r="A9">
        <v>1</v>
      </c>
      <c r="B9">
        <v>157</v>
      </c>
      <c r="C9">
        <v>0</v>
      </c>
      <c r="D9" t="s">
        <v>28</v>
      </c>
      <c r="E9" s="1">
        <v>44317</v>
      </c>
      <c r="F9">
        <v>1082</v>
      </c>
      <c r="G9">
        <v>5000</v>
      </c>
      <c r="H9">
        <v>10</v>
      </c>
      <c r="I9">
        <v>31000</v>
      </c>
      <c r="J9">
        <v>258.33</v>
      </c>
      <c r="K9">
        <v>15241.67</v>
      </c>
      <c r="L9">
        <v>15758.33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 t="s">
        <v>24</v>
      </c>
      <c r="W9" t="s">
        <v>35</v>
      </c>
    </row>
    <row r="10" spans="1:23" x14ac:dyDescent="0.3">
      <c r="A10">
        <v>1</v>
      </c>
      <c r="B10">
        <v>158</v>
      </c>
      <c r="C10">
        <v>0</v>
      </c>
      <c r="D10" t="s">
        <v>36</v>
      </c>
      <c r="E10" s="1">
        <v>44317</v>
      </c>
      <c r="F10">
        <v>1082</v>
      </c>
      <c r="G10">
        <v>100</v>
      </c>
      <c r="H10">
        <v>10</v>
      </c>
      <c r="I10">
        <v>620</v>
      </c>
      <c r="J10">
        <v>5.17</v>
      </c>
      <c r="K10">
        <v>304.83</v>
      </c>
      <c r="L10">
        <v>315.17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t="s">
        <v>24</v>
      </c>
      <c r="W10" t="s">
        <v>35</v>
      </c>
    </row>
    <row r="11" spans="1:23" x14ac:dyDescent="0.3">
      <c r="A11">
        <v>1</v>
      </c>
      <c r="B11">
        <v>159</v>
      </c>
      <c r="C11">
        <v>0</v>
      </c>
      <c r="D11" t="s">
        <v>28</v>
      </c>
      <c r="E11" s="1">
        <v>44347</v>
      </c>
      <c r="F11">
        <v>1082</v>
      </c>
      <c r="G11">
        <v>5000</v>
      </c>
      <c r="H11">
        <v>10</v>
      </c>
      <c r="I11">
        <v>29000</v>
      </c>
      <c r="J11">
        <v>241.66</v>
      </c>
      <c r="K11">
        <v>14024.45</v>
      </c>
      <c r="L11">
        <v>14975.55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 t="s">
        <v>24</v>
      </c>
      <c r="W11" t="s">
        <v>35</v>
      </c>
    </row>
    <row r="12" spans="1:23" x14ac:dyDescent="0.3">
      <c r="A12">
        <v>1</v>
      </c>
      <c r="B12">
        <v>230</v>
      </c>
      <c r="C12">
        <v>0</v>
      </c>
      <c r="D12" t="s">
        <v>37</v>
      </c>
      <c r="E12" s="1">
        <v>44785</v>
      </c>
      <c r="F12">
        <v>1082</v>
      </c>
      <c r="G12">
        <v>1</v>
      </c>
      <c r="H12">
        <v>0</v>
      </c>
      <c r="I12">
        <v>13.99</v>
      </c>
      <c r="J12">
        <v>0</v>
      </c>
      <c r="K12">
        <v>0</v>
      </c>
      <c r="L12">
        <v>13.99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 t="s">
        <v>24</v>
      </c>
      <c r="V12">
        <v>72079</v>
      </c>
      <c r="W12" t="s">
        <v>38</v>
      </c>
    </row>
    <row r="13" spans="1:23" x14ac:dyDescent="0.3">
      <c r="A13">
        <v>1</v>
      </c>
      <c r="B13">
        <v>17</v>
      </c>
      <c r="C13">
        <v>0</v>
      </c>
      <c r="D13" t="s">
        <v>39</v>
      </c>
      <c r="E13" s="1">
        <v>44375</v>
      </c>
      <c r="F13">
        <v>1083</v>
      </c>
      <c r="G13">
        <v>790</v>
      </c>
      <c r="H13">
        <v>10</v>
      </c>
      <c r="I13">
        <v>249637.63</v>
      </c>
      <c r="J13">
        <v>2080.3200000000002</v>
      </c>
      <c r="K13">
        <v>118785.9</v>
      </c>
      <c r="L13">
        <v>130851.73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 t="s">
        <v>24</v>
      </c>
      <c r="V13">
        <v>3140940</v>
      </c>
      <c r="W13" t="s">
        <v>40</v>
      </c>
    </row>
    <row r="14" spans="1:23" x14ac:dyDescent="0.3">
      <c r="A14">
        <v>1</v>
      </c>
      <c r="B14">
        <v>19</v>
      </c>
      <c r="C14">
        <v>0</v>
      </c>
      <c r="D14" t="s">
        <v>41</v>
      </c>
      <c r="E14" s="1">
        <v>44364</v>
      </c>
      <c r="F14">
        <v>1083</v>
      </c>
      <c r="G14">
        <v>300</v>
      </c>
      <c r="H14">
        <v>10</v>
      </c>
      <c r="I14">
        <v>29997.75</v>
      </c>
      <c r="J14">
        <v>249.99</v>
      </c>
      <c r="K14">
        <v>14365.61</v>
      </c>
      <c r="L14">
        <v>15632.14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 t="s">
        <v>24</v>
      </c>
      <c r="V14">
        <v>4497</v>
      </c>
      <c r="W14" t="s">
        <v>42</v>
      </c>
    </row>
    <row r="15" spans="1:23" x14ac:dyDescent="0.3">
      <c r="A15">
        <v>1</v>
      </c>
      <c r="B15">
        <v>53</v>
      </c>
      <c r="C15">
        <v>0</v>
      </c>
      <c r="D15" t="s">
        <v>43</v>
      </c>
      <c r="E15" s="1">
        <v>44347</v>
      </c>
      <c r="F15">
        <v>1083</v>
      </c>
      <c r="G15">
        <v>449</v>
      </c>
      <c r="H15">
        <v>10</v>
      </c>
      <c r="I15">
        <v>101755.28</v>
      </c>
      <c r="J15">
        <v>847.97</v>
      </c>
      <c r="K15">
        <v>49209.06</v>
      </c>
      <c r="L15">
        <v>52546.22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 t="s">
        <v>24</v>
      </c>
      <c r="V15">
        <v>3060958</v>
      </c>
      <c r="W15" t="s">
        <v>40</v>
      </c>
    </row>
    <row r="16" spans="1:23" x14ac:dyDescent="0.3">
      <c r="A16">
        <v>1</v>
      </c>
      <c r="B16">
        <v>64</v>
      </c>
      <c r="C16">
        <v>0</v>
      </c>
      <c r="D16" t="s">
        <v>39</v>
      </c>
      <c r="E16" s="1">
        <v>44427</v>
      </c>
      <c r="F16">
        <v>1083</v>
      </c>
      <c r="G16">
        <v>1000</v>
      </c>
      <c r="H16">
        <v>10</v>
      </c>
      <c r="I16">
        <v>315997</v>
      </c>
      <c r="J16">
        <v>2633.3</v>
      </c>
      <c r="K16">
        <v>145936.23000000001</v>
      </c>
      <c r="L16">
        <v>170060.77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 t="s">
        <v>24</v>
      </c>
      <c r="V16">
        <v>3299215</v>
      </c>
      <c r="W16" t="s">
        <v>40</v>
      </c>
    </row>
    <row r="17" spans="1:23" x14ac:dyDescent="0.3">
      <c r="A17">
        <v>1</v>
      </c>
      <c r="B17">
        <v>68</v>
      </c>
      <c r="C17">
        <v>0</v>
      </c>
      <c r="D17" t="s">
        <v>39</v>
      </c>
      <c r="E17" s="1">
        <v>44487</v>
      </c>
      <c r="F17">
        <v>1083</v>
      </c>
      <c r="G17">
        <v>1966</v>
      </c>
      <c r="H17">
        <v>10</v>
      </c>
      <c r="I17">
        <v>604949.01</v>
      </c>
      <c r="J17">
        <v>5041.24</v>
      </c>
      <c r="K17">
        <v>267185.81</v>
      </c>
      <c r="L17">
        <v>337763.2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 t="s">
        <v>24</v>
      </c>
      <c r="V17">
        <v>3474812</v>
      </c>
      <c r="W17" t="s">
        <v>40</v>
      </c>
    </row>
    <row r="18" spans="1:23" x14ac:dyDescent="0.3">
      <c r="A18">
        <v>1</v>
      </c>
      <c r="B18">
        <v>70</v>
      </c>
      <c r="C18">
        <v>0</v>
      </c>
      <c r="D18" t="s">
        <v>44</v>
      </c>
      <c r="E18" s="1">
        <v>44530</v>
      </c>
      <c r="F18">
        <v>1083</v>
      </c>
      <c r="G18">
        <v>300</v>
      </c>
      <c r="H18">
        <v>10</v>
      </c>
      <c r="I18">
        <v>39951</v>
      </c>
      <c r="J18">
        <v>332.93</v>
      </c>
      <c r="K18">
        <v>17323.189999999999</v>
      </c>
      <c r="L18">
        <v>22627.81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 t="s">
        <v>24</v>
      </c>
      <c r="V18">
        <v>19361</v>
      </c>
      <c r="W18" t="s">
        <v>45</v>
      </c>
    </row>
    <row r="19" spans="1:23" x14ac:dyDescent="0.3">
      <c r="A19">
        <v>1</v>
      </c>
      <c r="B19">
        <v>81</v>
      </c>
      <c r="C19">
        <v>0</v>
      </c>
      <c r="D19" t="s">
        <v>46</v>
      </c>
      <c r="E19" s="1">
        <v>44553</v>
      </c>
      <c r="F19">
        <v>1083</v>
      </c>
      <c r="G19">
        <v>782</v>
      </c>
      <c r="H19">
        <v>10</v>
      </c>
      <c r="I19">
        <v>327408.15000000002</v>
      </c>
      <c r="J19">
        <v>2728.4</v>
      </c>
      <c r="K19">
        <v>139940.6</v>
      </c>
      <c r="L19">
        <v>187467.55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 t="s">
        <v>24</v>
      </c>
      <c r="V19">
        <v>3675134</v>
      </c>
      <c r="W19" t="s">
        <v>40</v>
      </c>
    </row>
    <row r="20" spans="1:23" x14ac:dyDescent="0.3">
      <c r="A20">
        <v>1</v>
      </c>
      <c r="B20">
        <v>82</v>
      </c>
      <c r="C20">
        <v>0</v>
      </c>
      <c r="D20" t="s">
        <v>46</v>
      </c>
      <c r="E20" s="1">
        <v>44557</v>
      </c>
      <c r="F20">
        <v>1083</v>
      </c>
      <c r="G20">
        <v>218</v>
      </c>
      <c r="H20">
        <v>10</v>
      </c>
      <c r="I20">
        <v>91272.35</v>
      </c>
      <c r="J20">
        <v>760.6</v>
      </c>
      <c r="K20">
        <v>38913.46</v>
      </c>
      <c r="L20">
        <v>52358.89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 t="s">
        <v>24</v>
      </c>
      <c r="V20">
        <v>3678682</v>
      </c>
      <c r="W20" t="s">
        <v>40</v>
      </c>
    </row>
    <row r="21" spans="1:23" x14ac:dyDescent="0.3">
      <c r="A21">
        <v>1</v>
      </c>
      <c r="B21">
        <v>93</v>
      </c>
      <c r="C21">
        <v>0</v>
      </c>
      <c r="D21" t="s">
        <v>47</v>
      </c>
      <c r="E21" s="1">
        <v>44557</v>
      </c>
      <c r="F21">
        <v>1083</v>
      </c>
      <c r="G21">
        <v>1</v>
      </c>
      <c r="H21">
        <v>10</v>
      </c>
      <c r="I21">
        <v>613.35</v>
      </c>
      <c r="J21">
        <v>5.1100000000000003</v>
      </c>
      <c r="K21">
        <v>260.68</v>
      </c>
      <c r="L21">
        <v>352.67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24</v>
      </c>
      <c r="V21">
        <v>62633</v>
      </c>
      <c r="W21" t="s">
        <v>38</v>
      </c>
    </row>
    <row r="22" spans="1:23" x14ac:dyDescent="0.3">
      <c r="A22">
        <v>1</v>
      </c>
      <c r="B22">
        <v>94</v>
      </c>
      <c r="C22">
        <v>0</v>
      </c>
      <c r="D22" t="s">
        <v>48</v>
      </c>
      <c r="E22" s="1">
        <v>44557</v>
      </c>
      <c r="F22">
        <v>1083</v>
      </c>
      <c r="G22">
        <v>1</v>
      </c>
      <c r="H22">
        <v>10</v>
      </c>
      <c r="I22">
        <v>72.81</v>
      </c>
      <c r="J22">
        <v>0.61</v>
      </c>
      <c r="K22">
        <v>30.94</v>
      </c>
      <c r="L22">
        <v>41.87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 t="s">
        <v>24</v>
      </c>
      <c r="V22">
        <v>62633</v>
      </c>
      <c r="W22" t="s">
        <v>38</v>
      </c>
    </row>
    <row r="23" spans="1:23" x14ac:dyDescent="0.3">
      <c r="A23">
        <v>1</v>
      </c>
      <c r="B23">
        <v>120</v>
      </c>
      <c r="C23">
        <v>0</v>
      </c>
      <c r="D23" t="s">
        <v>49</v>
      </c>
      <c r="E23" s="1">
        <v>44587</v>
      </c>
      <c r="F23">
        <v>1083</v>
      </c>
      <c r="G23">
        <v>1991</v>
      </c>
      <c r="H23">
        <v>10</v>
      </c>
      <c r="I23">
        <v>582303.79</v>
      </c>
      <c r="J23">
        <v>4852.53</v>
      </c>
      <c r="K23">
        <v>242626.58</v>
      </c>
      <c r="L23">
        <v>339677.21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 t="s">
        <v>24</v>
      </c>
      <c r="V23">
        <v>3763500</v>
      </c>
      <c r="W23" t="s">
        <v>40</v>
      </c>
    </row>
    <row r="24" spans="1:23" x14ac:dyDescent="0.3">
      <c r="A24">
        <v>1</v>
      </c>
      <c r="B24">
        <v>139</v>
      </c>
      <c r="C24">
        <v>0</v>
      </c>
      <c r="D24" t="s">
        <v>43</v>
      </c>
      <c r="E24" s="1">
        <v>44617</v>
      </c>
      <c r="F24">
        <v>1083</v>
      </c>
      <c r="G24">
        <v>996</v>
      </c>
      <c r="H24">
        <v>10</v>
      </c>
      <c r="I24">
        <v>204605.04</v>
      </c>
      <c r="J24">
        <v>1705.04</v>
      </c>
      <c r="K24">
        <v>83547.06</v>
      </c>
      <c r="L24">
        <v>121057.98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 t="s">
        <v>24</v>
      </c>
      <c r="V24">
        <v>3891165</v>
      </c>
      <c r="W24" t="s">
        <v>40</v>
      </c>
    </row>
    <row r="25" spans="1:23" x14ac:dyDescent="0.3">
      <c r="A25">
        <v>1</v>
      </c>
      <c r="B25">
        <v>141</v>
      </c>
      <c r="C25">
        <v>0</v>
      </c>
      <c r="D25" t="s">
        <v>50</v>
      </c>
      <c r="E25" s="1">
        <v>44321</v>
      </c>
      <c r="F25">
        <v>1083</v>
      </c>
      <c r="G25">
        <v>1</v>
      </c>
      <c r="H25">
        <v>10</v>
      </c>
      <c r="I25">
        <v>23093</v>
      </c>
      <c r="J25">
        <v>192.44</v>
      </c>
      <c r="K25">
        <v>11329.24</v>
      </c>
      <c r="L25">
        <v>11763.76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 t="s">
        <v>24</v>
      </c>
      <c r="V25">
        <v>605</v>
      </c>
      <c r="W25" t="s">
        <v>51</v>
      </c>
    </row>
    <row r="26" spans="1:23" x14ac:dyDescent="0.3">
      <c r="A26">
        <v>1</v>
      </c>
      <c r="B26">
        <v>142</v>
      </c>
      <c r="C26">
        <v>0</v>
      </c>
      <c r="D26" t="s">
        <v>52</v>
      </c>
      <c r="E26" s="1">
        <v>44321</v>
      </c>
      <c r="F26">
        <v>1083</v>
      </c>
      <c r="G26">
        <v>200</v>
      </c>
      <c r="H26">
        <v>10</v>
      </c>
      <c r="I26">
        <v>37980</v>
      </c>
      <c r="J26">
        <v>316.5</v>
      </c>
      <c r="K26">
        <v>18632.66</v>
      </c>
      <c r="L26">
        <v>19347.34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t="s">
        <v>24</v>
      </c>
      <c r="V26">
        <v>605</v>
      </c>
      <c r="W26" t="s">
        <v>51</v>
      </c>
    </row>
    <row r="27" spans="1:23" x14ac:dyDescent="0.3">
      <c r="A27">
        <v>1</v>
      </c>
      <c r="B27">
        <v>865</v>
      </c>
      <c r="C27">
        <v>0</v>
      </c>
      <c r="D27" t="s">
        <v>53</v>
      </c>
      <c r="E27" s="1">
        <v>45961</v>
      </c>
      <c r="F27">
        <v>1083</v>
      </c>
      <c r="G27">
        <v>2000</v>
      </c>
      <c r="H27">
        <v>10</v>
      </c>
      <c r="I27">
        <v>635015</v>
      </c>
      <c r="J27">
        <v>5291.79</v>
      </c>
      <c r="K27">
        <v>26629.66</v>
      </c>
      <c r="L27">
        <v>608385.34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 t="s">
        <v>24</v>
      </c>
      <c r="V27">
        <v>3139506</v>
      </c>
      <c r="W27" t="s">
        <v>40</v>
      </c>
    </row>
    <row r="28" spans="1:23" x14ac:dyDescent="0.3">
      <c r="A28">
        <v>1</v>
      </c>
      <c r="B28">
        <v>143</v>
      </c>
      <c r="C28">
        <v>0</v>
      </c>
      <c r="D28" t="s">
        <v>54</v>
      </c>
      <c r="E28" s="1">
        <v>44635</v>
      </c>
      <c r="F28">
        <v>5208</v>
      </c>
      <c r="G28">
        <v>20</v>
      </c>
      <c r="H28">
        <v>10</v>
      </c>
      <c r="I28">
        <v>585.91999999999996</v>
      </c>
      <c r="J28">
        <v>4.88</v>
      </c>
      <c r="K28">
        <v>234.36</v>
      </c>
      <c r="L28">
        <v>351.56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 t="s">
        <v>24</v>
      </c>
      <c r="V28">
        <v>619587</v>
      </c>
      <c r="W28" t="s">
        <v>25</v>
      </c>
    </row>
    <row r="29" spans="1:23" x14ac:dyDescent="0.3">
      <c r="A29">
        <v>1</v>
      </c>
      <c r="B29">
        <v>152</v>
      </c>
      <c r="C29">
        <v>0</v>
      </c>
      <c r="D29" t="s">
        <v>55</v>
      </c>
      <c r="E29" s="1">
        <v>44651</v>
      </c>
      <c r="F29">
        <v>5208</v>
      </c>
      <c r="G29">
        <v>300</v>
      </c>
      <c r="H29">
        <v>10</v>
      </c>
      <c r="I29">
        <v>23783.439999999999</v>
      </c>
      <c r="J29">
        <v>198.2</v>
      </c>
      <c r="K29">
        <v>9513.36</v>
      </c>
      <c r="L29">
        <v>14270.08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 t="s">
        <v>24</v>
      </c>
      <c r="V29">
        <v>116934</v>
      </c>
      <c r="W29" t="s">
        <v>33</v>
      </c>
    </row>
    <row r="30" spans="1:23" x14ac:dyDescent="0.3">
      <c r="A30">
        <v>1</v>
      </c>
      <c r="B30">
        <v>155</v>
      </c>
      <c r="C30">
        <v>0</v>
      </c>
      <c r="D30" t="s">
        <v>56</v>
      </c>
      <c r="E30" s="1">
        <v>44648</v>
      </c>
      <c r="F30">
        <v>5208</v>
      </c>
      <c r="G30">
        <v>1000</v>
      </c>
      <c r="H30">
        <v>10</v>
      </c>
      <c r="I30">
        <v>252879.23</v>
      </c>
      <c r="J30">
        <v>2107.33</v>
      </c>
      <c r="K30">
        <v>101151.67999999999</v>
      </c>
      <c r="L30">
        <v>151727.54999999999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 t="s">
        <v>24</v>
      </c>
      <c r="V30">
        <v>4029012</v>
      </c>
      <c r="W30" t="s">
        <v>40</v>
      </c>
    </row>
    <row r="31" spans="1:23" x14ac:dyDescent="0.3">
      <c r="A31">
        <v>1</v>
      </c>
      <c r="B31">
        <v>156</v>
      </c>
      <c r="C31">
        <v>0</v>
      </c>
      <c r="D31" t="s">
        <v>57</v>
      </c>
      <c r="E31" s="1">
        <v>44651</v>
      </c>
      <c r="F31">
        <v>5208</v>
      </c>
      <c r="G31">
        <v>520</v>
      </c>
      <c r="H31">
        <v>10</v>
      </c>
      <c r="I31">
        <v>39795.57</v>
      </c>
      <c r="J31">
        <v>331.63</v>
      </c>
      <c r="K31">
        <v>15918.22</v>
      </c>
      <c r="L31">
        <v>23877.35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 t="s">
        <v>24</v>
      </c>
      <c r="V31">
        <v>4041889</v>
      </c>
      <c r="W31" t="s">
        <v>40</v>
      </c>
    </row>
    <row r="32" spans="1:23" x14ac:dyDescent="0.3">
      <c r="A32">
        <v>1</v>
      </c>
      <c r="B32">
        <v>186</v>
      </c>
      <c r="C32">
        <v>0</v>
      </c>
      <c r="D32" t="s">
        <v>58</v>
      </c>
      <c r="E32" s="1">
        <v>44680</v>
      </c>
      <c r="F32">
        <v>5208</v>
      </c>
      <c r="G32">
        <v>149</v>
      </c>
      <c r="H32">
        <v>10</v>
      </c>
      <c r="I32">
        <v>37239.410000000003</v>
      </c>
      <c r="J32">
        <v>310.33</v>
      </c>
      <c r="K32">
        <v>14585.43</v>
      </c>
      <c r="L32">
        <v>22653.98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 t="s">
        <v>24</v>
      </c>
      <c r="V32">
        <v>4146059</v>
      </c>
      <c r="W32" t="s">
        <v>40</v>
      </c>
    </row>
    <row r="33" spans="1:23" x14ac:dyDescent="0.3">
      <c r="A33">
        <v>1</v>
      </c>
      <c r="B33">
        <v>187</v>
      </c>
      <c r="C33">
        <v>0</v>
      </c>
      <c r="D33" t="s">
        <v>59</v>
      </c>
      <c r="E33" s="1">
        <v>44680</v>
      </c>
      <c r="F33">
        <v>5208</v>
      </c>
      <c r="G33">
        <v>851</v>
      </c>
      <c r="H33">
        <v>0</v>
      </c>
      <c r="I33">
        <v>212689.54</v>
      </c>
      <c r="J33">
        <v>0</v>
      </c>
      <c r="K33">
        <v>0</v>
      </c>
      <c r="L33">
        <v>212689.54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 t="s">
        <v>24</v>
      </c>
      <c r="V33">
        <v>4146510</v>
      </c>
      <c r="W33" t="s">
        <v>40</v>
      </c>
    </row>
    <row r="34" spans="1:23" x14ac:dyDescent="0.3">
      <c r="A34">
        <v>1</v>
      </c>
      <c r="B34">
        <v>197</v>
      </c>
      <c r="C34">
        <v>0</v>
      </c>
      <c r="D34" t="s">
        <v>60</v>
      </c>
      <c r="E34" s="1">
        <v>44712</v>
      </c>
      <c r="F34">
        <v>5208</v>
      </c>
      <c r="G34">
        <v>10</v>
      </c>
      <c r="H34">
        <v>0</v>
      </c>
      <c r="I34">
        <v>196.16</v>
      </c>
      <c r="J34">
        <v>0</v>
      </c>
      <c r="K34">
        <v>0</v>
      </c>
      <c r="L34">
        <v>196.16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 t="s">
        <v>24</v>
      </c>
      <c r="V34">
        <v>634285</v>
      </c>
      <c r="W34" t="s">
        <v>61</v>
      </c>
    </row>
    <row r="35" spans="1:23" x14ac:dyDescent="0.3">
      <c r="A35">
        <v>1</v>
      </c>
      <c r="B35">
        <v>198</v>
      </c>
      <c r="C35">
        <v>0</v>
      </c>
      <c r="D35" t="s">
        <v>62</v>
      </c>
      <c r="E35" s="1">
        <v>44712</v>
      </c>
      <c r="F35">
        <v>5208</v>
      </c>
      <c r="G35">
        <v>40</v>
      </c>
      <c r="H35">
        <v>10</v>
      </c>
      <c r="I35">
        <v>784.6</v>
      </c>
      <c r="J35">
        <v>6.54</v>
      </c>
      <c r="K35">
        <v>300.76</v>
      </c>
      <c r="L35">
        <v>483.84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t="s">
        <v>24</v>
      </c>
      <c r="V35">
        <v>634285</v>
      </c>
      <c r="W35" t="s">
        <v>61</v>
      </c>
    </row>
    <row r="36" spans="1:23" x14ac:dyDescent="0.3">
      <c r="A36">
        <v>1</v>
      </c>
      <c r="B36">
        <v>199</v>
      </c>
      <c r="C36">
        <v>0</v>
      </c>
      <c r="D36" t="s">
        <v>63</v>
      </c>
      <c r="E36" s="1">
        <v>44713</v>
      </c>
      <c r="F36">
        <v>5208</v>
      </c>
      <c r="G36">
        <v>1000</v>
      </c>
      <c r="H36">
        <v>0</v>
      </c>
      <c r="I36">
        <v>252871.2</v>
      </c>
      <c r="J36">
        <v>0</v>
      </c>
      <c r="K36">
        <v>0</v>
      </c>
      <c r="L36">
        <v>252871.2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t="s">
        <v>24</v>
      </c>
      <c r="V36">
        <v>4323567</v>
      </c>
      <c r="W36" t="s">
        <v>40</v>
      </c>
    </row>
    <row r="37" spans="1:23" x14ac:dyDescent="0.3">
      <c r="A37">
        <v>1</v>
      </c>
      <c r="B37">
        <v>204</v>
      </c>
      <c r="C37">
        <v>0</v>
      </c>
      <c r="D37" t="s">
        <v>64</v>
      </c>
      <c r="E37" s="1">
        <v>44767</v>
      </c>
      <c r="F37">
        <v>5208</v>
      </c>
      <c r="G37">
        <v>10000</v>
      </c>
      <c r="H37">
        <v>0</v>
      </c>
      <c r="I37">
        <v>43724.4</v>
      </c>
      <c r="J37">
        <v>0</v>
      </c>
      <c r="K37">
        <v>0</v>
      </c>
      <c r="L37">
        <v>43724.4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 t="s">
        <v>24</v>
      </c>
      <c r="V37">
        <v>310013</v>
      </c>
      <c r="W37" t="s">
        <v>65</v>
      </c>
    </row>
    <row r="38" spans="1:23" x14ac:dyDescent="0.3">
      <c r="A38">
        <v>1</v>
      </c>
      <c r="B38">
        <v>214</v>
      </c>
      <c r="C38">
        <v>0</v>
      </c>
      <c r="D38" t="s">
        <v>66</v>
      </c>
      <c r="E38" s="1">
        <v>44771</v>
      </c>
      <c r="F38">
        <v>5208</v>
      </c>
      <c r="G38">
        <v>500</v>
      </c>
      <c r="H38">
        <v>0</v>
      </c>
      <c r="I38">
        <v>1600</v>
      </c>
      <c r="J38">
        <v>0</v>
      </c>
      <c r="K38">
        <v>0</v>
      </c>
      <c r="L38">
        <v>1600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 t="s">
        <v>24</v>
      </c>
      <c r="V38">
        <v>1091</v>
      </c>
      <c r="W38" t="s">
        <v>67</v>
      </c>
    </row>
    <row r="39" spans="1:23" x14ac:dyDescent="0.3">
      <c r="A39">
        <v>1</v>
      </c>
      <c r="B39">
        <v>220</v>
      </c>
      <c r="C39">
        <v>0</v>
      </c>
      <c r="D39" t="s">
        <v>68</v>
      </c>
      <c r="E39" s="1">
        <v>44776</v>
      </c>
      <c r="F39">
        <v>5208</v>
      </c>
      <c r="G39">
        <v>2</v>
      </c>
      <c r="H39">
        <v>0</v>
      </c>
      <c r="I39">
        <v>258.26</v>
      </c>
      <c r="J39">
        <v>0</v>
      </c>
      <c r="K39">
        <v>0</v>
      </c>
      <c r="L39">
        <v>258.26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 t="s">
        <v>24</v>
      </c>
      <c r="V39">
        <v>24132</v>
      </c>
      <c r="W39" t="s">
        <v>45</v>
      </c>
    </row>
    <row r="40" spans="1:23" x14ac:dyDescent="0.3">
      <c r="A40">
        <v>1</v>
      </c>
      <c r="B40">
        <v>235</v>
      </c>
      <c r="C40">
        <v>0</v>
      </c>
      <c r="D40" t="s">
        <v>69</v>
      </c>
      <c r="E40" s="1">
        <v>44774</v>
      </c>
      <c r="F40">
        <v>5208</v>
      </c>
      <c r="G40">
        <v>1000</v>
      </c>
      <c r="H40">
        <v>0</v>
      </c>
      <c r="I40">
        <v>259332.3</v>
      </c>
      <c r="J40">
        <v>0</v>
      </c>
      <c r="K40">
        <v>0</v>
      </c>
      <c r="L40">
        <v>259332.3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 t="s">
        <v>24</v>
      </c>
      <c r="V40">
        <v>4662359</v>
      </c>
      <c r="W40" t="s">
        <v>40</v>
      </c>
    </row>
    <row r="41" spans="1:23" x14ac:dyDescent="0.3">
      <c r="A41">
        <v>1</v>
      </c>
      <c r="B41">
        <v>236</v>
      </c>
      <c r="C41">
        <v>0</v>
      </c>
      <c r="D41" t="s">
        <v>70</v>
      </c>
      <c r="E41" s="1">
        <v>44802</v>
      </c>
      <c r="F41">
        <v>5208</v>
      </c>
      <c r="G41">
        <v>300</v>
      </c>
      <c r="H41">
        <v>0</v>
      </c>
      <c r="I41">
        <v>42184.73</v>
      </c>
      <c r="J41">
        <v>0</v>
      </c>
      <c r="K41">
        <v>0</v>
      </c>
      <c r="L41">
        <v>42184.73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 t="s">
        <v>24</v>
      </c>
      <c r="V41">
        <v>24748</v>
      </c>
      <c r="W41" t="s">
        <v>45</v>
      </c>
    </row>
    <row r="42" spans="1:23" x14ac:dyDescent="0.3">
      <c r="A42">
        <v>1</v>
      </c>
      <c r="B42">
        <v>261</v>
      </c>
      <c r="C42">
        <v>0</v>
      </c>
      <c r="D42" t="s">
        <v>71</v>
      </c>
      <c r="E42" s="1">
        <v>44832</v>
      </c>
      <c r="F42">
        <v>5208</v>
      </c>
      <c r="G42">
        <v>50</v>
      </c>
      <c r="H42">
        <v>0</v>
      </c>
      <c r="I42">
        <v>37160.67</v>
      </c>
      <c r="J42">
        <v>0</v>
      </c>
      <c r="K42">
        <v>0</v>
      </c>
      <c r="L42">
        <v>37160.67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t="s">
        <v>24</v>
      </c>
      <c r="V42">
        <v>3436</v>
      </c>
      <c r="W42" t="s">
        <v>72</v>
      </c>
    </row>
    <row r="43" spans="1:23" x14ac:dyDescent="0.3">
      <c r="A43">
        <v>1</v>
      </c>
      <c r="B43">
        <v>262</v>
      </c>
      <c r="C43">
        <v>0</v>
      </c>
      <c r="D43" t="s">
        <v>73</v>
      </c>
      <c r="E43" s="1">
        <v>44858</v>
      </c>
      <c r="F43">
        <v>5208</v>
      </c>
      <c r="G43">
        <v>10</v>
      </c>
      <c r="H43">
        <v>0</v>
      </c>
      <c r="I43">
        <v>43.95</v>
      </c>
      <c r="J43">
        <v>0</v>
      </c>
      <c r="K43">
        <v>0</v>
      </c>
      <c r="L43">
        <v>43.95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 t="s">
        <v>24</v>
      </c>
      <c r="V43">
        <v>44911</v>
      </c>
      <c r="W43" t="s">
        <v>29</v>
      </c>
    </row>
    <row r="44" spans="1:23" x14ac:dyDescent="0.3">
      <c r="A44">
        <v>1</v>
      </c>
      <c r="B44">
        <v>263</v>
      </c>
      <c r="C44">
        <v>0</v>
      </c>
      <c r="D44" t="s">
        <v>74</v>
      </c>
      <c r="E44" s="1">
        <v>44841</v>
      </c>
      <c r="F44">
        <v>5208</v>
      </c>
      <c r="G44">
        <v>500</v>
      </c>
      <c r="H44">
        <v>0</v>
      </c>
      <c r="I44">
        <v>129197.03</v>
      </c>
      <c r="J44">
        <v>0</v>
      </c>
      <c r="K44">
        <v>0</v>
      </c>
      <c r="L44">
        <v>129197.03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 t="s">
        <v>24</v>
      </c>
      <c r="V44">
        <v>5050261</v>
      </c>
      <c r="W44" t="s">
        <v>40</v>
      </c>
    </row>
    <row r="45" spans="1:23" x14ac:dyDescent="0.3">
      <c r="A45">
        <v>1</v>
      </c>
      <c r="B45">
        <v>264</v>
      </c>
      <c r="C45">
        <v>0</v>
      </c>
      <c r="D45" t="s">
        <v>74</v>
      </c>
      <c r="E45" s="1">
        <v>44852</v>
      </c>
      <c r="F45">
        <v>5208</v>
      </c>
      <c r="G45">
        <v>500</v>
      </c>
      <c r="H45">
        <v>0</v>
      </c>
      <c r="I45">
        <v>129197.03</v>
      </c>
      <c r="J45">
        <v>0</v>
      </c>
      <c r="K45">
        <v>0</v>
      </c>
      <c r="L45">
        <v>129197.03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 t="s">
        <v>24</v>
      </c>
      <c r="V45">
        <v>5120276</v>
      </c>
      <c r="W45" t="s">
        <v>40</v>
      </c>
    </row>
    <row r="46" spans="1:23" x14ac:dyDescent="0.3">
      <c r="A46">
        <v>1</v>
      </c>
      <c r="B46">
        <v>277</v>
      </c>
      <c r="C46">
        <v>0</v>
      </c>
      <c r="D46" t="s">
        <v>75</v>
      </c>
      <c r="E46" s="1">
        <v>44867</v>
      </c>
      <c r="F46">
        <v>5208</v>
      </c>
      <c r="G46">
        <v>30</v>
      </c>
      <c r="H46">
        <v>0</v>
      </c>
      <c r="I46">
        <v>711.23</v>
      </c>
      <c r="J46">
        <v>0</v>
      </c>
      <c r="K46">
        <v>0</v>
      </c>
      <c r="L46">
        <v>711.23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 t="s">
        <v>24</v>
      </c>
      <c r="V46">
        <v>664685</v>
      </c>
      <c r="W46" t="s">
        <v>25</v>
      </c>
    </row>
    <row r="47" spans="1:23" x14ac:dyDescent="0.3">
      <c r="A47">
        <v>1</v>
      </c>
      <c r="B47">
        <v>278</v>
      </c>
      <c r="C47">
        <v>0</v>
      </c>
      <c r="D47" t="s">
        <v>76</v>
      </c>
      <c r="E47" s="1">
        <v>44867</v>
      </c>
      <c r="F47">
        <v>5208</v>
      </c>
      <c r="G47">
        <v>10</v>
      </c>
      <c r="H47">
        <v>0</v>
      </c>
      <c r="I47">
        <v>237.08</v>
      </c>
      <c r="J47">
        <v>0</v>
      </c>
      <c r="K47">
        <v>0</v>
      </c>
      <c r="L47">
        <v>237.08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 t="s">
        <v>24</v>
      </c>
      <c r="V47">
        <v>664686</v>
      </c>
      <c r="W47" t="s">
        <v>25</v>
      </c>
    </row>
    <row r="48" spans="1:23" x14ac:dyDescent="0.3">
      <c r="A48">
        <v>1</v>
      </c>
      <c r="B48">
        <v>300</v>
      </c>
      <c r="C48">
        <v>0</v>
      </c>
      <c r="D48" t="s">
        <v>77</v>
      </c>
      <c r="E48" s="1">
        <v>44890</v>
      </c>
      <c r="F48">
        <v>5208</v>
      </c>
      <c r="G48">
        <v>1610</v>
      </c>
      <c r="H48">
        <v>10</v>
      </c>
      <c r="I48">
        <v>392231.14</v>
      </c>
      <c r="J48">
        <v>3268.59</v>
      </c>
      <c r="K48">
        <v>130743.7</v>
      </c>
      <c r="L48">
        <v>261487.44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 t="s">
        <v>24</v>
      </c>
      <c r="V48">
        <v>5370494</v>
      </c>
      <c r="W48" t="s">
        <v>40</v>
      </c>
    </row>
    <row r="49" spans="1:23" x14ac:dyDescent="0.3">
      <c r="A49">
        <v>1</v>
      </c>
      <c r="B49">
        <v>303</v>
      </c>
      <c r="C49">
        <v>0</v>
      </c>
      <c r="D49" t="s">
        <v>78</v>
      </c>
      <c r="E49" s="1">
        <v>44914</v>
      </c>
      <c r="F49">
        <v>5208</v>
      </c>
      <c r="G49">
        <v>1481</v>
      </c>
      <c r="H49">
        <v>0</v>
      </c>
      <c r="I49">
        <v>360803.93</v>
      </c>
      <c r="J49">
        <v>0</v>
      </c>
      <c r="K49">
        <v>0</v>
      </c>
      <c r="L49">
        <v>360803.93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 t="s">
        <v>24</v>
      </c>
      <c r="V49">
        <v>5583804</v>
      </c>
      <c r="W49" t="s">
        <v>40</v>
      </c>
    </row>
    <row r="50" spans="1:23" x14ac:dyDescent="0.3">
      <c r="A50">
        <v>1</v>
      </c>
      <c r="B50">
        <v>303</v>
      </c>
      <c r="C50">
        <v>1</v>
      </c>
      <c r="D50" t="s">
        <v>78</v>
      </c>
      <c r="E50" s="1">
        <v>44914</v>
      </c>
      <c r="F50">
        <v>5208</v>
      </c>
      <c r="G50">
        <v>14</v>
      </c>
      <c r="H50">
        <v>0</v>
      </c>
      <c r="I50">
        <v>3410.7</v>
      </c>
      <c r="J50">
        <v>0</v>
      </c>
      <c r="K50">
        <v>0</v>
      </c>
      <c r="L50">
        <v>3410.7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 t="s">
        <v>24</v>
      </c>
      <c r="V50">
        <v>5583804</v>
      </c>
      <c r="W50" t="s">
        <v>40</v>
      </c>
    </row>
    <row r="51" spans="1:23" x14ac:dyDescent="0.3">
      <c r="A51">
        <v>1</v>
      </c>
      <c r="B51">
        <v>303</v>
      </c>
      <c r="C51">
        <v>2</v>
      </c>
      <c r="D51" t="s">
        <v>78</v>
      </c>
      <c r="E51" s="1">
        <v>44914</v>
      </c>
      <c r="F51">
        <v>5208</v>
      </c>
      <c r="G51">
        <v>5</v>
      </c>
      <c r="H51">
        <v>0</v>
      </c>
      <c r="I51">
        <v>1218.1099999999999</v>
      </c>
      <c r="J51">
        <v>0</v>
      </c>
      <c r="K51">
        <v>0</v>
      </c>
      <c r="L51">
        <v>1218.1099999999999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 t="s">
        <v>24</v>
      </c>
      <c r="V51">
        <v>5583804</v>
      </c>
      <c r="W51" t="s">
        <v>40</v>
      </c>
    </row>
    <row r="52" spans="1:23" x14ac:dyDescent="0.3">
      <c r="A52">
        <v>1</v>
      </c>
      <c r="B52">
        <v>319</v>
      </c>
      <c r="C52">
        <v>0</v>
      </c>
      <c r="D52" t="s">
        <v>79</v>
      </c>
      <c r="E52" s="1">
        <v>44945</v>
      </c>
      <c r="F52">
        <v>5208</v>
      </c>
      <c r="G52">
        <v>100</v>
      </c>
      <c r="H52">
        <v>10</v>
      </c>
      <c r="I52">
        <v>12741</v>
      </c>
      <c r="J52">
        <v>106.18</v>
      </c>
      <c r="K52">
        <v>4034.65</v>
      </c>
      <c r="L52">
        <v>8706.35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 t="s">
        <v>24</v>
      </c>
      <c r="V52">
        <v>131895</v>
      </c>
      <c r="W52" t="s">
        <v>33</v>
      </c>
    </row>
    <row r="53" spans="1:23" x14ac:dyDescent="0.3">
      <c r="A53">
        <v>1</v>
      </c>
      <c r="B53">
        <v>320</v>
      </c>
      <c r="C53">
        <v>0</v>
      </c>
      <c r="D53" t="s">
        <v>80</v>
      </c>
      <c r="E53" s="1">
        <v>44945</v>
      </c>
      <c r="F53">
        <v>5208</v>
      </c>
      <c r="G53">
        <v>10</v>
      </c>
      <c r="H53">
        <v>10</v>
      </c>
      <c r="I53">
        <v>304.33999999999997</v>
      </c>
      <c r="J53">
        <v>2.54</v>
      </c>
      <c r="K53">
        <v>96.39</v>
      </c>
      <c r="L53">
        <v>207.95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 t="s">
        <v>24</v>
      </c>
      <c r="V53">
        <v>679322</v>
      </c>
      <c r="W53" t="s">
        <v>25</v>
      </c>
    </row>
    <row r="54" spans="1:23" x14ac:dyDescent="0.3">
      <c r="A54">
        <v>1</v>
      </c>
      <c r="B54">
        <v>321</v>
      </c>
      <c r="C54">
        <v>0</v>
      </c>
      <c r="D54" t="s">
        <v>81</v>
      </c>
      <c r="E54" s="1">
        <v>44945</v>
      </c>
      <c r="F54">
        <v>5208</v>
      </c>
      <c r="G54">
        <v>20</v>
      </c>
      <c r="H54">
        <v>10</v>
      </c>
      <c r="I54">
        <v>608.69000000000005</v>
      </c>
      <c r="J54">
        <v>5.07</v>
      </c>
      <c r="K54">
        <v>192.76</v>
      </c>
      <c r="L54">
        <v>415.93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 t="s">
        <v>24</v>
      </c>
      <c r="V54">
        <v>679322</v>
      </c>
      <c r="W54" t="s">
        <v>25</v>
      </c>
    </row>
    <row r="55" spans="1:23" x14ac:dyDescent="0.3">
      <c r="A55">
        <v>1</v>
      </c>
      <c r="B55">
        <v>322</v>
      </c>
      <c r="C55">
        <v>0</v>
      </c>
      <c r="D55" t="s">
        <v>82</v>
      </c>
      <c r="E55" s="1">
        <v>44945</v>
      </c>
      <c r="F55">
        <v>5208</v>
      </c>
      <c r="G55">
        <v>150</v>
      </c>
      <c r="H55">
        <v>10</v>
      </c>
      <c r="I55">
        <v>3173.47</v>
      </c>
      <c r="J55">
        <v>26.45</v>
      </c>
      <c r="K55">
        <v>1004.91</v>
      </c>
      <c r="L55">
        <v>2168.56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 t="s">
        <v>24</v>
      </c>
      <c r="V55">
        <v>679323</v>
      </c>
      <c r="W55" t="s">
        <v>25</v>
      </c>
    </row>
    <row r="56" spans="1:23" x14ac:dyDescent="0.3">
      <c r="A56">
        <v>1</v>
      </c>
      <c r="B56">
        <v>323</v>
      </c>
      <c r="C56">
        <v>0</v>
      </c>
      <c r="D56" t="s">
        <v>83</v>
      </c>
      <c r="E56" s="1">
        <v>44945</v>
      </c>
      <c r="F56">
        <v>5208</v>
      </c>
      <c r="G56">
        <v>50</v>
      </c>
      <c r="H56">
        <v>10</v>
      </c>
      <c r="I56">
        <v>916.4</v>
      </c>
      <c r="J56">
        <v>7.64</v>
      </c>
      <c r="K56">
        <v>290.19</v>
      </c>
      <c r="L56">
        <v>626.21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t="s">
        <v>24</v>
      </c>
      <c r="V56">
        <v>679323</v>
      </c>
      <c r="W56" t="s">
        <v>25</v>
      </c>
    </row>
    <row r="57" spans="1:23" x14ac:dyDescent="0.3">
      <c r="A57">
        <v>1</v>
      </c>
      <c r="B57">
        <v>329</v>
      </c>
      <c r="C57">
        <v>0</v>
      </c>
      <c r="D57" t="s">
        <v>84</v>
      </c>
      <c r="E57" s="1">
        <v>44932</v>
      </c>
      <c r="F57">
        <v>5208</v>
      </c>
      <c r="G57">
        <v>10</v>
      </c>
      <c r="H57">
        <v>10</v>
      </c>
      <c r="I57">
        <v>1477.18</v>
      </c>
      <c r="J57">
        <v>12.31</v>
      </c>
      <c r="K57">
        <v>467.77</v>
      </c>
      <c r="L57">
        <v>1009.41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 t="s">
        <v>24</v>
      </c>
      <c r="V57">
        <v>250472</v>
      </c>
      <c r="W57" t="s">
        <v>85</v>
      </c>
    </row>
    <row r="58" spans="1:23" x14ac:dyDescent="0.3">
      <c r="A58">
        <v>1</v>
      </c>
      <c r="B58">
        <v>340</v>
      </c>
      <c r="C58">
        <v>0</v>
      </c>
      <c r="D58" t="s">
        <v>86</v>
      </c>
      <c r="E58" s="1">
        <v>44959</v>
      </c>
      <c r="F58">
        <v>5208</v>
      </c>
      <c r="G58">
        <v>50</v>
      </c>
      <c r="H58">
        <v>10</v>
      </c>
      <c r="I58">
        <v>1111.3399999999999</v>
      </c>
      <c r="J58">
        <v>9.27</v>
      </c>
      <c r="K58">
        <v>342.67</v>
      </c>
      <c r="L58">
        <v>768.67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 t="s">
        <v>24</v>
      </c>
      <c r="V58">
        <v>865</v>
      </c>
      <c r="W58" t="s">
        <v>87</v>
      </c>
    </row>
    <row r="59" spans="1:23" x14ac:dyDescent="0.3">
      <c r="A59">
        <v>1</v>
      </c>
      <c r="B59">
        <v>346</v>
      </c>
      <c r="C59">
        <v>0</v>
      </c>
      <c r="D59" t="s">
        <v>88</v>
      </c>
      <c r="E59" s="1">
        <v>45012</v>
      </c>
      <c r="F59">
        <v>5208</v>
      </c>
      <c r="G59">
        <v>4</v>
      </c>
      <c r="H59">
        <v>10</v>
      </c>
      <c r="I59">
        <v>2165.0300000000002</v>
      </c>
      <c r="J59">
        <v>18.05</v>
      </c>
      <c r="K59">
        <v>649.52</v>
      </c>
      <c r="L59">
        <v>1515.51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 t="s">
        <v>24</v>
      </c>
      <c r="V59">
        <v>1817</v>
      </c>
      <c r="W59" t="s">
        <v>87</v>
      </c>
    </row>
    <row r="60" spans="1:23" x14ac:dyDescent="0.3">
      <c r="A60">
        <v>1</v>
      </c>
      <c r="B60">
        <v>377</v>
      </c>
      <c r="C60">
        <v>0</v>
      </c>
      <c r="D60" t="s">
        <v>89</v>
      </c>
      <c r="E60" s="1">
        <v>44986</v>
      </c>
      <c r="F60">
        <v>5208</v>
      </c>
      <c r="G60">
        <v>500</v>
      </c>
      <c r="H60">
        <v>10</v>
      </c>
      <c r="I60">
        <v>680.6</v>
      </c>
      <c r="J60">
        <v>5.67</v>
      </c>
      <c r="K60">
        <v>204.18</v>
      </c>
      <c r="L60">
        <v>476.42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 t="s">
        <v>24</v>
      </c>
      <c r="V60">
        <v>1916</v>
      </c>
      <c r="W60" t="s">
        <v>90</v>
      </c>
    </row>
    <row r="61" spans="1:23" x14ac:dyDescent="0.3">
      <c r="A61">
        <v>1</v>
      </c>
      <c r="B61">
        <v>388</v>
      </c>
      <c r="C61">
        <v>0</v>
      </c>
      <c r="D61" t="s">
        <v>91</v>
      </c>
      <c r="E61" s="1">
        <v>44995</v>
      </c>
      <c r="F61">
        <v>5208</v>
      </c>
      <c r="G61">
        <v>1400</v>
      </c>
      <c r="H61">
        <v>10</v>
      </c>
      <c r="I61">
        <v>344679.11</v>
      </c>
      <c r="J61">
        <v>2872.33</v>
      </c>
      <c r="K61">
        <v>103403.7</v>
      </c>
      <c r="L61">
        <v>241275.41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 t="s">
        <v>24</v>
      </c>
      <c r="V61">
        <v>112996</v>
      </c>
      <c r="W61" t="s">
        <v>40</v>
      </c>
    </row>
    <row r="62" spans="1:23" x14ac:dyDescent="0.3">
      <c r="A62">
        <v>1</v>
      </c>
      <c r="B62">
        <v>396</v>
      </c>
      <c r="C62">
        <v>0</v>
      </c>
      <c r="D62" t="s">
        <v>92</v>
      </c>
      <c r="E62" s="1">
        <v>45041</v>
      </c>
      <c r="F62">
        <v>5208</v>
      </c>
      <c r="G62">
        <v>1500</v>
      </c>
      <c r="H62">
        <v>10</v>
      </c>
      <c r="I62">
        <v>362672.28</v>
      </c>
      <c r="J62">
        <v>3022.27</v>
      </c>
      <c r="K62">
        <v>105779.41</v>
      </c>
      <c r="L62">
        <v>256892.87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 t="s">
        <v>24</v>
      </c>
      <c r="V62">
        <v>254644</v>
      </c>
      <c r="W62" t="s">
        <v>40</v>
      </c>
    </row>
    <row r="63" spans="1:23" x14ac:dyDescent="0.3">
      <c r="A63">
        <v>1</v>
      </c>
      <c r="B63">
        <v>398</v>
      </c>
      <c r="C63">
        <v>0</v>
      </c>
      <c r="D63" t="s">
        <v>93</v>
      </c>
      <c r="E63" s="1">
        <v>45040</v>
      </c>
      <c r="F63">
        <v>5208</v>
      </c>
      <c r="G63">
        <v>250</v>
      </c>
      <c r="H63">
        <v>10</v>
      </c>
      <c r="I63">
        <v>5582.9</v>
      </c>
      <c r="J63">
        <v>46.53</v>
      </c>
      <c r="K63">
        <v>1628.38</v>
      </c>
      <c r="L63">
        <v>3954.52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t="s">
        <v>24</v>
      </c>
      <c r="V63">
        <v>696217</v>
      </c>
      <c r="W63" t="s">
        <v>25</v>
      </c>
    </row>
    <row r="64" spans="1:23" x14ac:dyDescent="0.3">
      <c r="A64">
        <v>1</v>
      </c>
      <c r="B64">
        <v>401</v>
      </c>
      <c r="C64">
        <v>0</v>
      </c>
      <c r="D64" t="s">
        <v>94</v>
      </c>
      <c r="E64" s="1">
        <v>45049</v>
      </c>
      <c r="F64">
        <v>5208</v>
      </c>
      <c r="G64">
        <v>1000</v>
      </c>
      <c r="H64">
        <v>10</v>
      </c>
      <c r="I64">
        <v>4048.72</v>
      </c>
      <c r="J64">
        <v>33.74</v>
      </c>
      <c r="K64">
        <v>1147.1300000000001</v>
      </c>
      <c r="L64">
        <v>2901.59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t="s">
        <v>24</v>
      </c>
      <c r="V64">
        <v>2343</v>
      </c>
      <c r="W64" t="s">
        <v>87</v>
      </c>
    </row>
    <row r="65" spans="1:23" x14ac:dyDescent="0.3">
      <c r="A65">
        <v>1</v>
      </c>
      <c r="B65">
        <v>438</v>
      </c>
      <c r="C65">
        <v>0</v>
      </c>
      <c r="D65" t="s">
        <v>95</v>
      </c>
      <c r="E65" s="1">
        <v>45075</v>
      </c>
      <c r="F65">
        <v>5208</v>
      </c>
      <c r="G65">
        <v>557</v>
      </c>
      <c r="H65">
        <v>10</v>
      </c>
      <c r="I65">
        <v>173521.66</v>
      </c>
      <c r="J65">
        <v>1446.01</v>
      </c>
      <c r="K65">
        <v>49164.480000000003</v>
      </c>
      <c r="L65">
        <v>124357.18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t="s">
        <v>24</v>
      </c>
      <c r="V65">
        <v>357501</v>
      </c>
      <c r="W65" t="s">
        <v>40</v>
      </c>
    </row>
    <row r="66" spans="1:23" x14ac:dyDescent="0.3">
      <c r="A66">
        <v>1</v>
      </c>
      <c r="B66">
        <v>440</v>
      </c>
      <c r="C66">
        <v>0</v>
      </c>
      <c r="D66" t="s">
        <v>96</v>
      </c>
      <c r="E66" s="1">
        <v>45075</v>
      </c>
      <c r="F66">
        <v>5208</v>
      </c>
      <c r="G66">
        <v>978</v>
      </c>
      <c r="H66">
        <v>10</v>
      </c>
      <c r="I66">
        <v>241772.47</v>
      </c>
      <c r="J66">
        <v>2014.78</v>
      </c>
      <c r="K66">
        <v>68502.2</v>
      </c>
      <c r="L66">
        <v>173270.27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 t="s">
        <v>24</v>
      </c>
      <c r="V66">
        <v>357501</v>
      </c>
      <c r="W66" t="s">
        <v>40</v>
      </c>
    </row>
    <row r="67" spans="1:23" x14ac:dyDescent="0.3">
      <c r="A67">
        <v>1</v>
      </c>
      <c r="B67">
        <v>440</v>
      </c>
      <c r="C67">
        <v>6</v>
      </c>
      <c r="D67" t="s">
        <v>97</v>
      </c>
      <c r="E67" s="1">
        <v>45075</v>
      </c>
      <c r="F67">
        <v>5208</v>
      </c>
      <c r="G67">
        <v>1</v>
      </c>
      <c r="H67">
        <v>10</v>
      </c>
      <c r="I67">
        <v>3175.07</v>
      </c>
      <c r="J67">
        <v>26.46</v>
      </c>
      <c r="K67">
        <v>899.6</v>
      </c>
      <c r="L67">
        <v>2275.4699999999998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 t="s">
        <v>98</v>
      </c>
      <c r="V67">
        <v>357501</v>
      </c>
      <c r="W67" t="s">
        <v>40</v>
      </c>
    </row>
    <row r="68" spans="1:23" x14ac:dyDescent="0.3">
      <c r="A68">
        <v>1</v>
      </c>
      <c r="B68">
        <v>457</v>
      </c>
      <c r="C68">
        <v>0</v>
      </c>
      <c r="D68" t="s">
        <v>99</v>
      </c>
      <c r="E68" s="1">
        <v>45084</v>
      </c>
      <c r="F68">
        <v>5208</v>
      </c>
      <c r="G68">
        <v>5000</v>
      </c>
      <c r="H68">
        <v>10</v>
      </c>
      <c r="I68">
        <v>20243.61</v>
      </c>
      <c r="J68">
        <v>168.7</v>
      </c>
      <c r="K68">
        <v>5566.99</v>
      </c>
      <c r="L68">
        <v>14676.62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 t="s">
        <v>24</v>
      </c>
      <c r="V68">
        <v>2797</v>
      </c>
      <c r="W68" t="s">
        <v>87</v>
      </c>
    </row>
    <row r="69" spans="1:23" x14ac:dyDescent="0.3">
      <c r="A69">
        <v>1</v>
      </c>
      <c r="B69">
        <v>481</v>
      </c>
      <c r="C69">
        <v>0</v>
      </c>
      <c r="D69" t="s">
        <v>100</v>
      </c>
      <c r="E69" s="1">
        <v>45110</v>
      </c>
      <c r="F69">
        <v>5208</v>
      </c>
      <c r="G69">
        <v>3</v>
      </c>
      <c r="H69">
        <v>10</v>
      </c>
      <c r="I69">
        <v>11717.92</v>
      </c>
      <c r="J69">
        <v>97.65</v>
      </c>
      <c r="K69">
        <v>3124.77</v>
      </c>
      <c r="L69">
        <v>8593.15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 t="s">
        <v>24</v>
      </c>
      <c r="V69">
        <v>30646</v>
      </c>
      <c r="W69" t="s">
        <v>101</v>
      </c>
    </row>
    <row r="70" spans="1:23" x14ac:dyDescent="0.3">
      <c r="A70">
        <v>1</v>
      </c>
      <c r="B70">
        <v>483</v>
      </c>
      <c r="C70">
        <v>0</v>
      </c>
      <c r="D70" t="s">
        <v>102</v>
      </c>
      <c r="E70" s="1">
        <v>45119</v>
      </c>
      <c r="F70">
        <v>5208</v>
      </c>
      <c r="G70">
        <v>1000</v>
      </c>
      <c r="H70">
        <v>10</v>
      </c>
      <c r="I70">
        <v>40489.75</v>
      </c>
      <c r="J70">
        <v>361.33</v>
      </c>
      <c r="K70">
        <v>11562.64</v>
      </c>
      <c r="L70">
        <v>28927.11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 t="s">
        <v>24</v>
      </c>
      <c r="V70">
        <v>8412</v>
      </c>
      <c r="W70" t="s">
        <v>103</v>
      </c>
    </row>
    <row r="71" spans="1:23" x14ac:dyDescent="0.3">
      <c r="A71">
        <v>3</v>
      </c>
      <c r="B71">
        <v>491</v>
      </c>
      <c r="C71">
        <v>0</v>
      </c>
      <c r="D71" t="s">
        <v>104</v>
      </c>
      <c r="E71" s="1">
        <v>45133</v>
      </c>
      <c r="F71">
        <v>5208</v>
      </c>
      <c r="G71">
        <v>15000</v>
      </c>
      <c r="H71">
        <v>10</v>
      </c>
      <c r="I71">
        <v>371688.24</v>
      </c>
      <c r="J71">
        <v>3097.4</v>
      </c>
      <c r="K71">
        <v>99116.87</v>
      </c>
      <c r="L71">
        <v>272571.37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 t="s">
        <v>24</v>
      </c>
      <c r="V71">
        <v>526279</v>
      </c>
      <c r="W71" t="s">
        <v>40</v>
      </c>
    </row>
    <row r="72" spans="1:23" x14ac:dyDescent="0.3">
      <c r="A72">
        <v>1</v>
      </c>
      <c r="B72">
        <v>495</v>
      </c>
      <c r="C72">
        <v>0</v>
      </c>
      <c r="D72" t="s">
        <v>105</v>
      </c>
      <c r="E72" s="1">
        <v>45169</v>
      </c>
      <c r="F72">
        <v>5208</v>
      </c>
      <c r="G72">
        <v>25</v>
      </c>
      <c r="H72">
        <v>10</v>
      </c>
      <c r="I72">
        <v>613.87</v>
      </c>
      <c r="J72">
        <v>5.1100000000000003</v>
      </c>
      <c r="K72">
        <v>158.56</v>
      </c>
      <c r="L72">
        <v>455.31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t="s">
        <v>24</v>
      </c>
      <c r="V72">
        <v>715991</v>
      </c>
      <c r="W72" t="s">
        <v>25</v>
      </c>
    </row>
    <row r="73" spans="1:23" x14ac:dyDescent="0.3">
      <c r="A73">
        <v>1</v>
      </c>
      <c r="B73">
        <v>496</v>
      </c>
      <c r="C73">
        <v>0</v>
      </c>
      <c r="D73" t="s">
        <v>106</v>
      </c>
      <c r="E73" s="1">
        <v>45169</v>
      </c>
      <c r="F73">
        <v>5208</v>
      </c>
      <c r="G73">
        <v>25</v>
      </c>
      <c r="H73">
        <v>10</v>
      </c>
      <c r="I73">
        <v>606.14</v>
      </c>
      <c r="J73">
        <v>5.05</v>
      </c>
      <c r="K73">
        <v>156.59</v>
      </c>
      <c r="L73">
        <v>449.55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t="s">
        <v>24</v>
      </c>
      <c r="V73">
        <v>715991</v>
      </c>
      <c r="W73" t="s">
        <v>25</v>
      </c>
    </row>
    <row r="74" spans="1:23" x14ac:dyDescent="0.3">
      <c r="A74">
        <v>1</v>
      </c>
      <c r="B74">
        <v>497</v>
      </c>
      <c r="C74">
        <v>0</v>
      </c>
      <c r="D74" t="s">
        <v>107</v>
      </c>
      <c r="E74" s="1">
        <v>45169</v>
      </c>
      <c r="F74">
        <v>5208</v>
      </c>
      <c r="G74">
        <v>10</v>
      </c>
      <c r="H74">
        <v>10</v>
      </c>
      <c r="I74">
        <v>262.06</v>
      </c>
      <c r="J74">
        <v>2.19</v>
      </c>
      <c r="K74">
        <v>67.69</v>
      </c>
      <c r="L74">
        <v>194.37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 t="s">
        <v>24</v>
      </c>
      <c r="V74">
        <v>715991</v>
      </c>
      <c r="W74" t="s">
        <v>25</v>
      </c>
    </row>
    <row r="75" spans="1:23" x14ac:dyDescent="0.3">
      <c r="A75">
        <v>1</v>
      </c>
      <c r="B75">
        <v>498</v>
      </c>
      <c r="C75">
        <v>0</v>
      </c>
      <c r="D75" t="s">
        <v>108</v>
      </c>
      <c r="E75" s="1">
        <v>45169</v>
      </c>
      <c r="F75">
        <v>5208</v>
      </c>
      <c r="G75">
        <v>20</v>
      </c>
      <c r="H75">
        <v>10</v>
      </c>
      <c r="I75">
        <v>524.15</v>
      </c>
      <c r="J75">
        <v>4.3600000000000003</v>
      </c>
      <c r="K75">
        <v>135.4</v>
      </c>
      <c r="L75">
        <v>388.75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 t="s">
        <v>24</v>
      </c>
      <c r="V75">
        <v>715991</v>
      </c>
      <c r="W75" t="s">
        <v>25</v>
      </c>
    </row>
    <row r="76" spans="1:23" x14ac:dyDescent="0.3">
      <c r="A76">
        <v>1</v>
      </c>
      <c r="B76">
        <v>505</v>
      </c>
      <c r="C76">
        <v>0</v>
      </c>
      <c r="D76" t="s">
        <v>109</v>
      </c>
      <c r="E76" s="1">
        <v>45141</v>
      </c>
      <c r="F76">
        <v>5208</v>
      </c>
      <c r="G76">
        <v>10000</v>
      </c>
      <c r="H76">
        <v>10</v>
      </c>
      <c r="I76">
        <v>5429.79</v>
      </c>
      <c r="J76">
        <v>45.24</v>
      </c>
      <c r="K76">
        <v>1402.69</v>
      </c>
      <c r="L76">
        <v>4027.1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 t="s">
        <v>24</v>
      </c>
      <c r="V76">
        <v>1040</v>
      </c>
      <c r="W76" t="s">
        <v>110</v>
      </c>
    </row>
    <row r="77" spans="1:23" x14ac:dyDescent="0.3">
      <c r="A77">
        <v>1</v>
      </c>
      <c r="B77">
        <v>510</v>
      </c>
      <c r="C77">
        <v>0</v>
      </c>
      <c r="D77" t="s">
        <v>111</v>
      </c>
      <c r="E77" s="1">
        <v>45189</v>
      </c>
      <c r="F77">
        <v>5208</v>
      </c>
      <c r="G77">
        <v>800</v>
      </c>
      <c r="H77">
        <v>10</v>
      </c>
      <c r="I77">
        <v>29880</v>
      </c>
      <c r="J77">
        <v>249</v>
      </c>
      <c r="K77">
        <v>7470</v>
      </c>
      <c r="L77">
        <v>22410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 t="s">
        <v>24</v>
      </c>
      <c r="V77">
        <v>9130</v>
      </c>
      <c r="W77" t="s">
        <v>103</v>
      </c>
    </row>
    <row r="78" spans="1:23" x14ac:dyDescent="0.3">
      <c r="A78">
        <v>1</v>
      </c>
      <c r="B78">
        <v>511</v>
      </c>
      <c r="C78">
        <v>0</v>
      </c>
      <c r="D78" t="s">
        <v>112</v>
      </c>
      <c r="E78" s="1">
        <v>45189</v>
      </c>
      <c r="F78">
        <v>5208</v>
      </c>
      <c r="G78">
        <v>100</v>
      </c>
      <c r="H78">
        <v>10</v>
      </c>
      <c r="I78">
        <v>3802.96</v>
      </c>
      <c r="J78">
        <v>31.69</v>
      </c>
      <c r="K78">
        <v>950.74</v>
      </c>
      <c r="L78">
        <v>2852.22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 t="s">
        <v>24</v>
      </c>
      <c r="V78">
        <v>9130</v>
      </c>
      <c r="W78" t="s">
        <v>103</v>
      </c>
    </row>
    <row r="79" spans="1:23" x14ac:dyDescent="0.3">
      <c r="A79">
        <v>3</v>
      </c>
      <c r="B79">
        <v>512</v>
      </c>
      <c r="C79">
        <v>0</v>
      </c>
      <c r="D79" t="s">
        <v>113</v>
      </c>
      <c r="E79" s="1">
        <v>45191</v>
      </c>
      <c r="F79">
        <v>5208</v>
      </c>
      <c r="G79">
        <v>1437</v>
      </c>
      <c r="H79">
        <v>10</v>
      </c>
      <c r="I79">
        <v>351716.31</v>
      </c>
      <c r="J79">
        <v>2930.97</v>
      </c>
      <c r="K79">
        <v>87929.08</v>
      </c>
      <c r="L79">
        <v>263787.23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 t="s">
        <v>24</v>
      </c>
      <c r="V79">
        <v>752308</v>
      </c>
      <c r="W79" t="s">
        <v>40</v>
      </c>
    </row>
    <row r="80" spans="1:23" x14ac:dyDescent="0.3">
      <c r="A80">
        <v>1</v>
      </c>
      <c r="B80">
        <v>515</v>
      </c>
      <c r="C80">
        <v>0</v>
      </c>
      <c r="D80" t="s">
        <v>114</v>
      </c>
      <c r="E80" s="1">
        <v>45202</v>
      </c>
      <c r="F80">
        <v>5208</v>
      </c>
      <c r="G80">
        <v>44</v>
      </c>
      <c r="H80">
        <v>10</v>
      </c>
      <c r="I80">
        <v>11048.33</v>
      </c>
      <c r="J80">
        <v>92.07</v>
      </c>
      <c r="K80">
        <v>2670.01</v>
      </c>
      <c r="L80">
        <v>8378.32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 t="s">
        <v>24</v>
      </c>
      <c r="V80">
        <v>31918</v>
      </c>
      <c r="W80" t="s">
        <v>101</v>
      </c>
    </row>
    <row r="81" spans="1:23" x14ac:dyDescent="0.3">
      <c r="A81">
        <v>3</v>
      </c>
      <c r="B81">
        <v>519</v>
      </c>
      <c r="C81">
        <v>0</v>
      </c>
      <c r="D81" t="s">
        <v>115</v>
      </c>
      <c r="E81" s="1">
        <v>45218</v>
      </c>
      <c r="F81">
        <v>5208</v>
      </c>
      <c r="G81">
        <v>2000</v>
      </c>
      <c r="H81">
        <v>10</v>
      </c>
      <c r="I81">
        <v>481927.29</v>
      </c>
      <c r="J81">
        <v>4016.06</v>
      </c>
      <c r="K81">
        <v>116465.77</v>
      </c>
      <c r="L81">
        <v>365461.52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 t="s">
        <v>24</v>
      </c>
      <c r="V81">
        <v>873120</v>
      </c>
      <c r="W81" t="s">
        <v>40</v>
      </c>
    </row>
    <row r="82" spans="1:23" x14ac:dyDescent="0.3">
      <c r="A82">
        <v>1</v>
      </c>
      <c r="B82">
        <v>529</v>
      </c>
      <c r="C82">
        <v>0</v>
      </c>
      <c r="D82" t="s">
        <v>116</v>
      </c>
      <c r="E82" s="1">
        <v>45246</v>
      </c>
      <c r="F82">
        <v>5208</v>
      </c>
      <c r="G82">
        <v>100</v>
      </c>
      <c r="H82">
        <v>10</v>
      </c>
      <c r="I82">
        <v>11159.93</v>
      </c>
      <c r="J82">
        <v>93</v>
      </c>
      <c r="K82">
        <v>2603.98</v>
      </c>
      <c r="L82">
        <v>8555.9500000000007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 t="s">
        <v>24</v>
      </c>
      <c r="V82">
        <v>32498</v>
      </c>
      <c r="W82" t="s">
        <v>101</v>
      </c>
    </row>
    <row r="83" spans="1:23" x14ac:dyDescent="0.3">
      <c r="A83">
        <v>3</v>
      </c>
      <c r="B83">
        <v>532</v>
      </c>
      <c r="C83">
        <v>0</v>
      </c>
      <c r="D83" t="s">
        <v>117</v>
      </c>
      <c r="E83" s="1">
        <v>45250</v>
      </c>
      <c r="F83">
        <v>5208</v>
      </c>
      <c r="G83">
        <v>500</v>
      </c>
      <c r="H83">
        <v>10</v>
      </c>
      <c r="I83">
        <v>86566.54</v>
      </c>
      <c r="J83">
        <v>721.4</v>
      </c>
      <c r="K83">
        <v>20198.87</v>
      </c>
      <c r="L83">
        <v>66367.67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 t="s">
        <v>24</v>
      </c>
      <c r="V83">
        <v>997251</v>
      </c>
      <c r="W83" t="s">
        <v>40</v>
      </c>
    </row>
    <row r="84" spans="1:23" x14ac:dyDescent="0.3">
      <c r="A84">
        <v>3</v>
      </c>
      <c r="B84">
        <v>533</v>
      </c>
      <c r="C84">
        <v>0</v>
      </c>
      <c r="D84" t="s">
        <v>118</v>
      </c>
      <c r="E84" s="1">
        <v>45253</v>
      </c>
      <c r="F84">
        <v>5208</v>
      </c>
      <c r="G84">
        <v>1000</v>
      </c>
      <c r="H84">
        <v>10</v>
      </c>
      <c r="I84">
        <v>246250.57</v>
      </c>
      <c r="J84">
        <v>2052.09</v>
      </c>
      <c r="K84">
        <v>57458.46</v>
      </c>
      <c r="L84">
        <v>188792.11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 t="s">
        <v>24</v>
      </c>
      <c r="V84">
        <v>1014893</v>
      </c>
      <c r="W84" t="s">
        <v>40</v>
      </c>
    </row>
    <row r="85" spans="1:23" x14ac:dyDescent="0.3">
      <c r="A85">
        <v>3</v>
      </c>
      <c r="B85">
        <v>534</v>
      </c>
      <c r="C85">
        <v>0</v>
      </c>
      <c r="D85" t="s">
        <v>119</v>
      </c>
      <c r="E85" s="1">
        <v>45254</v>
      </c>
      <c r="F85">
        <v>5208</v>
      </c>
      <c r="G85">
        <v>1000</v>
      </c>
      <c r="H85">
        <v>10</v>
      </c>
      <c r="I85">
        <v>252779.04</v>
      </c>
      <c r="J85">
        <v>2106.4899999999998</v>
      </c>
      <c r="K85">
        <v>58981.78</v>
      </c>
      <c r="L85">
        <v>193797.26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 t="s">
        <v>24</v>
      </c>
      <c r="V85">
        <v>1025183</v>
      </c>
      <c r="W85" t="s">
        <v>40</v>
      </c>
    </row>
    <row r="86" spans="1:23" x14ac:dyDescent="0.3">
      <c r="A86">
        <v>3</v>
      </c>
      <c r="B86">
        <v>535</v>
      </c>
      <c r="C86">
        <v>0</v>
      </c>
      <c r="D86" t="s">
        <v>119</v>
      </c>
      <c r="E86" s="1">
        <v>45259</v>
      </c>
      <c r="F86">
        <v>5208</v>
      </c>
      <c r="G86">
        <v>999</v>
      </c>
      <c r="H86">
        <v>10</v>
      </c>
      <c r="I86">
        <v>252490.77</v>
      </c>
      <c r="J86">
        <v>2104.09</v>
      </c>
      <c r="K86">
        <v>58914.52</v>
      </c>
      <c r="L86">
        <v>193576.25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 t="s">
        <v>24</v>
      </c>
      <c r="V86">
        <v>1066150</v>
      </c>
      <c r="W86" t="s">
        <v>40</v>
      </c>
    </row>
    <row r="87" spans="1:23" x14ac:dyDescent="0.3">
      <c r="A87">
        <v>3</v>
      </c>
      <c r="B87">
        <v>536</v>
      </c>
      <c r="C87">
        <v>0</v>
      </c>
      <c r="D87" t="s">
        <v>120</v>
      </c>
      <c r="E87" s="1">
        <v>45261</v>
      </c>
      <c r="F87">
        <v>5208</v>
      </c>
      <c r="G87">
        <v>998</v>
      </c>
      <c r="H87">
        <v>10</v>
      </c>
      <c r="I87">
        <v>245811.62</v>
      </c>
      <c r="J87">
        <v>2048.4299999999998</v>
      </c>
      <c r="K87">
        <v>55307.61</v>
      </c>
      <c r="L87">
        <v>190504.01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 t="s">
        <v>24</v>
      </c>
      <c r="V87">
        <v>1082100</v>
      </c>
      <c r="W87" t="s">
        <v>40</v>
      </c>
    </row>
    <row r="88" spans="1:23" x14ac:dyDescent="0.3">
      <c r="A88">
        <v>1</v>
      </c>
      <c r="B88">
        <v>539</v>
      </c>
      <c r="C88">
        <v>0</v>
      </c>
      <c r="D88" t="s">
        <v>121</v>
      </c>
      <c r="E88" s="1">
        <v>45274</v>
      </c>
      <c r="F88">
        <v>5208</v>
      </c>
      <c r="G88">
        <v>5</v>
      </c>
      <c r="H88">
        <v>10</v>
      </c>
      <c r="I88">
        <v>1250.8399999999999</v>
      </c>
      <c r="J88">
        <v>10.42</v>
      </c>
      <c r="K88">
        <v>281.43</v>
      </c>
      <c r="L88">
        <v>969.41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 t="s">
        <v>24</v>
      </c>
      <c r="V88">
        <v>32890</v>
      </c>
      <c r="W88" t="s">
        <v>101</v>
      </c>
    </row>
    <row r="89" spans="1:23" x14ac:dyDescent="0.3">
      <c r="A89">
        <v>1</v>
      </c>
      <c r="B89">
        <v>540</v>
      </c>
      <c r="C89">
        <v>0</v>
      </c>
      <c r="D89" t="s">
        <v>122</v>
      </c>
      <c r="E89" s="1">
        <v>45279</v>
      </c>
      <c r="F89">
        <v>5208</v>
      </c>
      <c r="G89">
        <v>1000</v>
      </c>
      <c r="H89">
        <v>10</v>
      </c>
      <c r="I89">
        <v>37350</v>
      </c>
      <c r="J89">
        <v>311.25</v>
      </c>
      <c r="K89">
        <v>8534.27</v>
      </c>
      <c r="L89">
        <v>28815.73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 t="s">
        <v>24</v>
      </c>
      <c r="V89">
        <v>10342</v>
      </c>
      <c r="W89" t="s">
        <v>103</v>
      </c>
    </row>
    <row r="90" spans="1:23" x14ac:dyDescent="0.3">
      <c r="A90">
        <v>1</v>
      </c>
      <c r="B90">
        <v>541</v>
      </c>
      <c r="C90">
        <v>0</v>
      </c>
      <c r="D90" t="s">
        <v>112</v>
      </c>
      <c r="E90" s="1">
        <v>45279</v>
      </c>
      <c r="F90">
        <v>5208</v>
      </c>
      <c r="G90">
        <v>100</v>
      </c>
      <c r="H90">
        <v>10</v>
      </c>
      <c r="I90">
        <v>3802.96</v>
      </c>
      <c r="J90">
        <v>31.69</v>
      </c>
      <c r="K90">
        <v>855.67</v>
      </c>
      <c r="L90">
        <v>2947.29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 t="s">
        <v>24</v>
      </c>
      <c r="V90">
        <v>10342</v>
      </c>
      <c r="W90" t="s">
        <v>103</v>
      </c>
    </row>
    <row r="91" spans="1:23" x14ac:dyDescent="0.3">
      <c r="A91">
        <v>3</v>
      </c>
      <c r="B91">
        <v>557</v>
      </c>
      <c r="C91">
        <v>0</v>
      </c>
      <c r="D91" t="s">
        <v>123</v>
      </c>
      <c r="E91" s="1">
        <v>45342</v>
      </c>
      <c r="F91">
        <v>5208</v>
      </c>
      <c r="G91">
        <v>38</v>
      </c>
      <c r="H91">
        <v>10</v>
      </c>
      <c r="I91">
        <v>10466.620000000001</v>
      </c>
      <c r="J91">
        <v>87.22</v>
      </c>
      <c r="K91">
        <v>2180.5500000000002</v>
      </c>
      <c r="L91">
        <v>8286.07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 t="s">
        <v>24</v>
      </c>
      <c r="V91">
        <v>1384754</v>
      </c>
      <c r="W91" t="s">
        <v>40</v>
      </c>
    </row>
    <row r="92" spans="1:23" x14ac:dyDescent="0.3">
      <c r="A92">
        <v>3</v>
      </c>
      <c r="B92">
        <v>558</v>
      </c>
      <c r="C92">
        <v>0</v>
      </c>
      <c r="D92" t="s">
        <v>124</v>
      </c>
      <c r="E92" s="1">
        <v>45345</v>
      </c>
      <c r="F92">
        <v>5208</v>
      </c>
      <c r="G92">
        <v>952</v>
      </c>
      <c r="H92">
        <v>10</v>
      </c>
      <c r="I92">
        <v>261690.77</v>
      </c>
      <c r="J92">
        <v>2180.7600000000002</v>
      </c>
      <c r="K92">
        <v>54518.91</v>
      </c>
      <c r="L92">
        <v>207171.86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 t="s">
        <v>24</v>
      </c>
      <c r="V92">
        <v>1395991</v>
      </c>
      <c r="W92" t="s">
        <v>40</v>
      </c>
    </row>
    <row r="93" spans="1:23" x14ac:dyDescent="0.3">
      <c r="A93">
        <v>1</v>
      </c>
      <c r="B93">
        <v>568</v>
      </c>
      <c r="C93">
        <v>0</v>
      </c>
      <c r="D93" t="s">
        <v>125</v>
      </c>
      <c r="E93" s="1">
        <v>45336</v>
      </c>
      <c r="F93">
        <v>5208</v>
      </c>
      <c r="G93">
        <v>3000</v>
      </c>
      <c r="H93">
        <v>10</v>
      </c>
      <c r="I93">
        <v>1494</v>
      </c>
      <c r="J93">
        <v>12.45</v>
      </c>
      <c r="K93">
        <v>311.24</v>
      </c>
      <c r="L93">
        <v>1182.76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 t="s">
        <v>24</v>
      </c>
      <c r="V93">
        <v>33558</v>
      </c>
      <c r="W93" t="s">
        <v>101</v>
      </c>
    </row>
    <row r="94" spans="1:23" x14ac:dyDescent="0.3">
      <c r="A94">
        <v>1</v>
      </c>
      <c r="B94">
        <v>572</v>
      </c>
      <c r="C94">
        <v>0</v>
      </c>
      <c r="D94" t="s">
        <v>126</v>
      </c>
      <c r="E94" s="1">
        <v>45336</v>
      </c>
      <c r="F94">
        <v>5208</v>
      </c>
      <c r="G94">
        <v>700</v>
      </c>
      <c r="H94">
        <v>10</v>
      </c>
      <c r="I94">
        <v>26620.73</v>
      </c>
      <c r="J94">
        <v>221.84</v>
      </c>
      <c r="K94">
        <v>5545.98</v>
      </c>
      <c r="L94">
        <v>21074.75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 t="s">
        <v>24</v>
      </c>
      <c r="V94">
        <v>11008</v>
      </c>
      <c r="W94" t="s">
        <v>103</v>
      </c>
    </row>
    <row r="95" spans="1:23" x14ac:dyDescent="0.3">
      <c r="A95">
        <v>3</v>
      </c>
      <c r="B95">
        <v>573</v>
      </c>
      <c r="C95">
        <v>0</v>
      </c>
      <c r="D95" t="s">
        <v>127</v>
      </c>
      <c r="E95" s="1">
        <v>45366</v>
      </c>
      <c r="F95">
        <v>5208</v>
      </c>
      <c r="G95">
        <v>200</v>
      </c>
      <c r="H95">
        <v>10</v>
      </c>
      <c r="I95">
        <v>55161.95</v>
      </c>
      <c r="J95">
        <v>459.68</v>
      </c>
      <c r="K95">
        <v>11032.4</v>
      </c>
      <c r="L95">
        <v>44129.55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 t="s">
        <v>24</v>
      </c>
      <c r="V95">
        <v>1454965</v>
      </c>
      <c r="W95" t="s">
        <v>40</v>
      </c>
    </row>
    <row r="96" spans="1:23" x14ac:dyDescent="0.3">
      <c r="A96">
        <v>3</v>
      </c>
      <c r="B96">
        <v>574</v>
      </c>
      <c r="C96">
        <v>0</v>
      </c>
      <c r="D96" t="s">
        <v>128</v>
      </c>
      <c r="E96" s="1">
        <v>45366</v>
      </c>
      <c r="F96">
        <v>5208</v>
      </c>
      <c r="G96">
        <v>800</v>
      </c>
      <c r="H96">
        <v>10</v>
      </c>
      <c r="I96">
        <v>220647.79</v>
      </c>
      <c r="J96">
        <v>1838.73</v>
      </c>
      <c r="K96">
        <v>44129.56</v>
      </c>
      <c r="L96">
        <v>176518.23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 t="s">
        <v>24</v>
      </c>
      <c r="V96">
        <v>1456152</v>
      </c>
      <c r="W96" t="s">
        <v>40</v>
      </c>
    </row>
    <row r="97" spans="1:23" x14ac:dyDescent="0.3">
      <c r="A97">
        <v>3</v>
      </c>
      <c r="B97">
        <v>577</v>
      </c>
      <c r="C97">
        <v>0</v>
      </c>
      <c r="D97" t="s">
        <v>129</v>
      </c>
      <c r="E97" s="1">
        <v>45372</v>
      </c>
      <c r="F97">
        <v>5208</v>
      </c>
      <c r="G97">
        <v>1627</v>
      </c>
      <c r="H97">
        <v>10</v>
      </c>
      <c r="I97">
        <v>448159.79</v>
      </c>
      <c r="J97">
        <v>3734.66</v>
      </c>
      <c r="K97">
        <v>89631.96</v>
      </c>
      <c r="L97">
        <v>358527.83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 t="s">
        <v>24</v>
      </c>
      <c r="V97">
        <v>1472195</v>
      </c>
      <c r="W97" t="s">
        <v>40</v>
      </c>
    </row>
    <row r="98" spans="1:23" x14ac:dyDescent="0.3">
      <c r="A98">
        <v>1</v>
      </c>
      <c r="B98">
        <v>581</v>
      </c>
      <c r="C98">
        <v>0</v>
      </c>
      <c r="D98" t="s">
        <v>126</v>
      </c>
      <c r="E98" s="1">
        <v>45358</v>
      </c>
      <c r="F98">
        <v>5208</v>
      </c>
      <c r="G98">
        <v>700</v>
      </c>
      <c r="H98">
        <v>10</v>
      </c>
      <c r="I98">
        <v>26620.73</v>
      </c>
      <c r="J98">
        <v>221.84</v>
      </c>
      <c r="K98">
        <v>5324.14</v>
      </c>
      <c r="L98">
        <v>21296.59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 t="s">
        <v>24</v>
      </c>
      <c r="V98">
        <v>11329</v>
      </c>
      <c r="W98" t="s">
        <v>103</v>
      </c>
    </row>
    <row r="99" spans="1:23" x14ac:dyDescent="0.3">
      <c r="A99">
        <v>1</v>
      </c>
      <c r="B99">
        <v>582</v>
      </c>
      <c r="C99">
        <v>0</v>
      </c>
      <c r="D99" t="s">
        <v>130</v>
      </c>
      <c r="E99" s="1">
        <v>45363</v>
      </c>
      <c r="F99">
        <v>5208</v>
      </c>
      <c r="G99">
        <v>300</v>
      </c>
      <c r="H99">
        <v>10</v>
      </c>
      <c r="I99">
        <v>11205</v>
      </c>
      <c r="J99">
        <v>93.38</v>
      </c>
      <c r="K99">
        <v>2241</v>
      </c>
      <c r="L99">
        <v>8964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 t="s">
        <v>24</v>
      </c>
      <c r="V99">
        <v>11394</v>
      </c>
      <c r="W99" t="s">
        <v>103</v>
      </c>
    </row>
    <row r="100" spans="1:23" x14ac:dyDescent="0.3">
      <c r="A100">
        <v>1</v>
      </c>
      <c r="B100">
        <v>583</v>
      </c>
      <c r="C100">
        <v>0</v>
      </c>
      <c r="D100" t="s">
        <v>131</v>
      </c>
      <c r="E100" s="1">
        <v>45359</v>
      </c>
      <c r="F100">
        <v>5208</v>
      </c>
      <c r="G100">
        <v>50</v>
      </c>
      <c r="H100">
        <v>10</v>
      </c>
      <c r="I100">
        <v>1077.01</v>
      </c>
      <c r="J100">
        <v>8.98</v>
      </c>
      <c r="K100">
        <v>215.4</v>
      </c>
      <c r="L100">
        <v>861.61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 t="s">
        <v>24</v>
      </c>
      <c r="V100">
        <v>743832</v>
      </c>
      <c r="W100" t="s">
        <v>25</v>
      </c>
    </row>
    <row r="101" spans="1:23" x14ac:dyDescent="0.3">
      <c r="A101">
        <v>1</v>
      </c>
      <c r="B101">
        <v>584</v>
      </c>
      <c r="C101">
        <v>0</v>
      </c>
      <c r="D101" t="s">
        <v>132</v>
      </c>
      <c r="E101" s="1">
        <v>45359</v>
      </c>
      <c r="F101">
        <v>5208</v>
      </c>
      <c r="G101">
        <v>25</v>
      </c>
      <c r="H101">
        <v>10</v>
      </c>
      <c r="I101">
        <v>527.36</v>
      </c>
      <c r="J101">
        <v>4.3899999999999997</v>
      </c>
      <c r="K101">
        <v>105.48</v>
      </c>
      <c r="L101">
        <v>421.88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 t="s">
        <v>24</v>
      </c>
      <c r="V101">
        <v>743832</v>
      </c>
      <c r="W101" t="s">
        <v>25</v>
      </c>
    </row>
    <row r="102" spans="1:23" x14ac:dyDescent="0.3">
      <c r="A102">
        <v>3</v>
      </c>
      <c r="B102">
        <v>585</v>
      </c>
      <c r="C102">
        <v>0</v>
      </c>
      <c r="D102" t="s">
        <v>133</v>
      </c>
      <c r="E102" s="1">
        <v>45386</v>
      </c>
      <c r="F102">
        <v>5208</v>
      </c>
      <c r="G102">
        <v>1000</v>
      </c>
      <c r="H102">
        <v>10</v>
      </c>
      <c r="I102">
        <v>275716.63</v>
      </c>
      <c r="J102">
        <v>2297.64</v>
      </c>
      <c r="K102">
        <v>52845.68</v>
      </c>
      <c r="L102">
        <v>222870.95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 t="s">
        <v>24</v>
      </c>
      <c r="V102">
        <v>1505173</v>
      </c>
      <c r="W102" t="s">
        <v>40</v>
      </c>
    </row>
    <row r="103" spans="1:23" x14ac:dyDescent="0.3">
      <c r="A103">
        <v>3</v>
      </c>
      <c r="B103">
        <v>589</v>
      </c>
      <c r="C103">
        <v>0</v>
      </c>
      <c r="D103" t="s">
        <v>134</v>
      </c>
      <c r="E103" s="1">
        <v>45404</v>
      </c>
      <c r="F103">
        <v>5208</v>
      </c>
      <c r="G103">
        <v>1476</v>
      </c>
      <c r="H103">
        <v>10</v>
      </c>
      <c r="I103">
        <v>463273.31</v>
      </c>
      <c r="J103">
        <v>3860.61</v>
      </c>
      <c r="K103">
        <v>88794.06</v>
      </c>
      <c r="L103">
        <v>374479.25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 t="s">
        <v>24</v>
      </c>
      <c r="V103">
        <v>1550148</v>
      </c>
      <c r="W103" t="s">
        <v>40</v>
      </c>
    </row>
    <row r="104" spans="1:23" x14ac:dyDescent="0.3">
      <c r="A104">
        <v>3</v>
      </c>
      <c r="B104">
        <v>589</v>
      </c>
      <c r="C104">
        <v>1</v>
      </c>
      <c r="D104" t="s">
        <v>135</v>
      </c>
      <c r="E104" s="1">
        <v>45404</v>
      </c>
      <c r="F104">
        <v>5208</v>
      </c>
      <c r="G104">
        <v>24</v>
      </c>
      <c r="H104">
        <v>10</v>
      </c>
      <c r="I104">
        <v>7599.04</v>
      </c>
      <c r="J104">
        <v>63.33</v>
      </c>
      <c r="K104">
        <v>1456.48</v>
      </c>
      <c r="L104">
        <v>6142.56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 t="s">
        <v>24</v>
      </c>
      <c r="V104">
        <v>1550148</v>
      </c>
      <c r="W104" t="s">
        <v>40</v>
      </c>
    </row>
    <row r="105" spans="1:23" x14ac:dyDescent="0.3">
      <c r="A105">
        <v>3</v>
      </c>
      <c r="B105">
        <v>590</v>
      </c>
      <c r="C105">
        <v>0</v>
      </c>
      <c r="D105" t="s">
        <v>136</v>
      </c>
      <c r="E105" s="1">
        <v>45411</v>
      </c>
      <c r="F105">
        <v>5208</v>
      </c>
      <c r="G105">
        <v>1860</v>
      </c>
      <c r="H105">
        <v>10</v>
      </c>
      <c r="I105">
        <v>583881.69999999995</v>
      </c>
      <c r="J105">
        <v>4865.68</v>
      </c>
      <c r="K105">
        <v>111910.66</v>
      </c>
      <c r="L105">
        <v>471971.04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 t="s">
        <v>24</v>
      </c>
      <c r="V105">
        <v>1570503</v>
      </c>
      <c r="W105" t="s">
        <v>40</v>
      </c>
    </row>
    <row r="106" spans="1:23" x14ac:dyDescent="0.3">
      <c r="A106">
        <v>1</v>
      </c>
      <c r="B106">
        <v>611</v>
      </c>
      <c r="C106">
        <v>0</v>
      </c>
      <c r="D106" t="s">
        <v>137</v>
      </c>
      <c r="E106" s="1">
        <v>45411</v>
      </c>
      <c r="F106">
        <v>5208</v>
      </c>
      <c r="G106">
        <v>50</v>
      </c>
      <c r="H106">
        <v>10</v>
      </c>
      <c r="I106">
        <v>1008.98</v>
      </c>
      <c r="J106">
        <v>8.41</v>
      </c>
      <c r="K106">
        <v>193.38</v>
      </c>
      <c r="L106">
        <v>815.6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 t="s">
        <v>24</v>
      </c>
      <c r="V106">
        <v>751857</v>
      </c>
      <c r="W106" t="s">
        <v>25</v>
      </c>
    </row>
    <row r="107" spans="1:23" x14ac:dyDescent="0.3">
      <c r="A107">
        <v>1</v>
      </c>
      <c r="B107">
        <v>612</v>
      </c>
      <c r="C107">
        <v>0</v>
      </c>
      <c r="D107" t="s">
        <v>138</v>
      </c>
      <c r="E107" s="1">
        <v>45411</v>
      </c>
      <c r="F107">
        <v>5208</v>
      </c>
      <c r="G107">
        <v>50</v>
      </c>
      <c r="H107">
        <v>10</v>
      </c>
      <c r="I107">
        <v>1008.98</v>
      </c>
      <c r="J107">
        <v>8.41</v>
      </c>
      <c r="K107">
        <v>193.38</v>
      </c>
      <c r="L107">
        <v>815.6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 t="s">
        <v>24</v>
      </c>
      <c r="V107">
        <v>751857</v>
      </c>
      <c r="W107" t="s">
        <v>25</v>
      </c>
    </row>
    <row r="108" spans="1:23" x14ac:dyDescent="0.3">
      <c r="A108">
        <v>1</v>
      </c>
      <c r="B108">
        <v>617</v>
      </c>
      <c r="C108">
        <v>0</v>
      </c>
      <c r="D108" t="s">
        <v>139</v>
      </c>
      <c r="E108" s="1">
        <v>45433</v>
      </c>
      <c r="F108">
        <v>5208</v>
      </c>
      <c r="G108">
        <v>600</v>
      </c>
      <c r="H108">
        <v>10</v>
      </c>
      <c r="I108">
        <v>22325.74</v>
      </c>
      <c r="J108">
        <v>186.05</v>
      </c>
      <c r="K108">
        <v>4093.05</v>
      </c>
      <c r="L108">
        <v>18232.689999999999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 t="s">
        <v>24</v>
      </c>
      <c r="V108">
        <v>12207</v>
      </c>
      <c r="W108" t="s">
        <v>103</v>
      </c>
    </row>
    <row r="109" spans="1:23" x14ac:dyDescent="0.3">
      <c r="A109">
        <v>3</v>
      </c>
      <c r="B109">
        <v>622</v>
      </c>
      <c r="C109">
        <v>0</v>
      </c>
      <c r="D109" t="s">
        <v>140</v>
      </c>
      <c r="E109" s="1">
        <v>45474</v>
      </c>
      <c r="F109">
        <v>5208</v>
      </c>
      <c r="G109">
        <v>40</v>
      </c>
      <c r="H109">
        <v>10</v>
      </c>
      <c r="I109">
        <v>12556.6</v>
      </c>
      <c r="J109">
        <v>104.64</v>
      </c>
      <c r="K109">
        <v>2092.7600000000002</v>
      </c>
      <c r="L109">
        <v>10463.84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 t="s">
        <v>24</v>
      </c>
      <c r="V109">
        <v>1623827</v>
      </c>
      <c r="W109" t="s">
        <v>40</v>
      </c>
    </row>
    <row r="110" spans="1:23" x14ac:dyDescent="0.3">
      <c r="A110">
        <v>3</v>
      </c>
      <c r="B110">
        <v>623</v>
      </c>
      <c r="C110">
        <v>0</v>
      </c>
      <c r="D110" t="s">
        <v>134</v>
      </c>
      <c r="E110" s="1">
        <v>45474</v>
      </c>
      <c r="F110">
        <v>5208</v>
      </c>
      <c r="G110">
        <v>1476</v>
      </c>
      <c r="H110">
        <v>10</v>
      </c>
      <c r="I110">
        <v>459897.88</v>
      </c>
      <c r="J110">
        <v>3832.49</v>
      </c>
      <c r="K110">
        <v>76649.649999999994</v>
      </c>
      <c r="L110">
        <v>383248.23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 t="s">
        <v>24</v>
      </c>
      <c r="V110">
        <v>1637696</v>
      </c>
      <c r="W110" t="s">
        <v>40</v>
      </c>
    </row>
    <row r="111" spans="1:23" x14ac:dyDescent="0.3">
      <c r="A111">
        <v>3</v>
      </c>
      <c r="B111">
        <v>624</v>
      </c>
      <c r="C111">
        <v>0</v>
      </c>
      <c r="D111" t="s">
        <v>134</v>
      </c>
      <c r="E111" s="1">
        <v>45474</v>
      </c>
      <c r="F111">
        <v>5208</v>
      </c>
      <c r="G111">
        <v>1493</v>
      </c>
      <c r="H111">
        <v>10</v>
      </c>
      <c r="I111">
        <v>460571.87</v>
      </c>
      <c r="J111">
        <v>3838.1</v>
      </c>
      <c r="K111">
        <v>76761.98</v>
      </c>
      <c r="L111">
        <v>383809.89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 t="s">
        <v>24</v>
      </c>
      <c r="V111">
        <v>1643828</v>
      </c>
      <c r="W111" t="s">
        <v>40</v>
      </c>
    </row>
    <row r="112" spans="1:23" x14ac:dyDescent="0.3">
      <c r="A112">
        <v>3</v>
      </c>
      <c r="B112">
        <v>629</v>
      </c>
      <c r="C112">
        <v>0</v>
      </c>
      <c r="D112" t="s">
        <v>141</v>
      </c>
      <c r="E112" s="1">
        <v>45535</v>
      </c>
      <c r="F112">
        <v>5208</v>
      </c>
      <c r="G112">
        <v>40</v>
      </c>
      <c r="H112">
        <v>10</v>
      </c>
      <c r="I112">
        <v>12804.08</v>
      </c>
      <c r="J112">
        <v>106.7</v>
      </c>
      <c r="K112">
        <v>2027.32</v>
      </c>
      <c r="L112">
        <v>10776.76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 t="s">
        <v>24</v>
      </c>
      <c r="V112">
        <v>1942972</v>
      </c>
      <c r="W112" t="s">
        <v>40</v>
      </c>
    </row>
    <row r="113" spans="1:23" x14ac:dyDescent="0.3">
      <c r="A113">
        <v>3</v>
      </c>
      <c r="B113">
        <v>630</v>
      </c>
      <c r="C113">
        <v>0</v>
      </c>
      <c r="D113" t="s">
        <v>142</v>
      </c>
      <c r="E113" s="1">
        <v>45535</v>
      </c>
      <c r="F113">
        <v>5208</v>
      </c>
      <c r="G113">
        <v>1000</v>
      </c>
      <c r="H113">
        <v>10</v>
      </c>
      <c r="I113">
        <v>319895.02</v>
      </c>
      <c r="J113">
        <v>2665.79</v>
      </c>
      <c r="K113">
        <v>50650.05</v>
      </c>
      <c r="L113">
        <v>269244.96999999997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 t="s">
        <v>24</v>
      </c>
      <c r="V113">
        <v>1943032</v>
      </c>
      <c r="W113" t="s">
        <v>40</v>
      </c>
    </row>
    <row r="114" spans="1:23" x14ac:dyDescent="0.3">
      <c r="A114">
        <v>3</v>
      </c>
      <c r="B114">
        <v>631</v>
      </c>
      <c r="C114">
        <v>0</v>
      </c>
      <c r="D114" t="s">
        <v>143</v>
      </c>
      <c r="E114" s="1">
        <v>45535</v>
      </c>
      <c r="F114">
        <v>5208</v>
      </c>
      <c r="G114">
        <v>1992</v>
      </c>
      <c r="H114">
        <v>10</v>
      </c>
      <c r="I114">
        <v>637509.14</v>
      </c>
      <c r="J114">
        <v>5312.58</v>
      </c>
      <c r="K114">
        <v>100938.95</v>
      </c>
      <c r="L114">
        <v>536570.18999999994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 t="s">
        <v>24</v>
      </c>
      <c r="V114">
        <v>1943740</v>
      </c>
      <c r="W114" t="s">
        <v>40</v>
      </c>
    </row>
    <row r="115" spans="1:23" x14ac:dyDescent="0.3">
      <c r="A115">
        <v>1</v>
      </c>
      <c r="B115">
        <v>632</v>
      </c>
      <c r="C115">
        <v>0</v>
      </c>
      <c r="D115" t="s">
        <v>144</v>
      </c>
      <c r="E115" s="1">
        <v>45519</v>
      </c>
      <c r="F115">
        <v>5208</v>
      </c>
      <c r="G115">
        <v>5000</v>
      </c>
      <c r="H115">
        <v>10</v>
      </c>
      <c r="I115">
        <v>17374.5</v>
      </c>
      <c r="J115">
        <v>144.79</v>
      </c>
      <c r="K115">
        <v>2750.96</v>
      </c>
      <c r="L115">
        <v>14623.54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 t="s">
        <v>24</v>
      </c>
      <c r="V115">
        <v>179</v>
      </c>
      <c r="W115" t="s">
        <v>145</v>
      </c>
    </row>
    <row r="116" spans="1:23" x14ac:dyDescent="0.3">
      <c r="A116">
        <v>1</v>
      </c>
      <c r="B116">
        <v>633</v>
      </c>
      <c r="C116">
        <v>0</v>
      </c>
      <c r="D116" t="s">
        <v>144</v>
      </c>
      <c r="E116" s="1">
        <v>45520</v>
      </c>
      <c r="F116">
        <v>5208</v>
      </c>
      <c r="G116">
        <v>5000</v>
      </c>
      <c r="H116">
        <v>10</v>
      </c>
      <c r="I116">
        <v>17374.5</v>
      </c>
      <c r="J116">
        <v>144.79</v>
      </c>
      <c r="K116">
        <v>2750.96</v>
      </c>
      <c r="L116">
        <v>14623.54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 t="s">
        <v>24</v>
      </c>
      <c r="V116">
        <v>180</v>
      </c>
      <c r="W116" t="s">
        <v>145</v>
      </c>
    </row>
    <row r="117" spans="1:23" x14ac:dyDescent="0.3">
      <c r="A117">
        <v>1</v>
      </c>
      <c r="B117">
        <v>642</v>
      </c>
      <c r="C117">
        <v>0</v>
      </c>
      <c r="D117" t="s">
        <v>146</v>
      </c>
      <c r="E117" s="1">
        <v>45545</v>
      </c>
      <c r="F117">
        <v>5208</v>
      </c>
      <c r="G117">
        <v>4</v>
      </c>
      <c r="H117">
        <v>10</v>
      </c>
      <c r="I117">
        <v>534.6</v>
      </c>
      <c r="J117">
        <v>4.46</v>
      </c>
      <c r="K117">
        <v>80.19</v>
      </c>
      <c r="L117">
        <v>454.41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 t="s">
        <v>24</v>
      </c>
      <c r="V117">
        <v>36130</v>
      </c>
      <c r="W117" t="s">
        <v>101</v>
      </c>
    </row>
    <row r="118" spans="1:23" x14ac:dyDescent="0.3">
      <c r="A118">
        <v>1</v>
      </c>
      <c r="B118">
        <v>662</v>
      </c>
      <c r="C118">
        <v>0</v>
      </c>
      <c r="D118" t="s">
        <v>147</v>
      </c>
      <c r="E118" s="1">
        <v>45594</v>
      </c>
      <c r="F118">
        <v>5208</v>
      </c>
      <c r="G118">
        <v>1</v>
      </c>
      <c r="H118">
        <v>10</v>
      </c>
      <c r="I118">
        <v>80797.5</v>
      </c>
      <c r="J118">
        <v>673.32</v>
      </c>
      <c r="K118">
        <v>11446.32</v>
      </c>
      <c r="L118">
        <v>69351.179999999993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 t="s">
        <v>24</v>
      </c>
      <c r="V118">
        <v>181</v>
      </c>
      <c r="W118" t="s">
        <v>145</v>
      </c>
    </row>
    <row r="119" spans="1:23" x14ac:dyDescent="0.3">
      <c r="A119">
        <v>3</v>
      </c>
      <c r="B119">
        <v>670</v>
      </c>
      <c r="C119">
        <v>0</v>
      </c>
      <c r="D119" t="s">
        <v>148</v>
      </c>
      <c r="E119" s="1">
        <v>45595</v>
      </c>
      <c r="F119">
        <v>5208</v>
      </c>
      <c r="G119">
        <v>1000</v>
      </c>
      <c r="H119">
        <v>10</v>
      </c>
      <c r="I119">
        <v>297981.71000000002</v>
      </c>
      <c r="J119">
        <v>2483.1799999999998</v>
      </c>
      <c r="K119">
        <v>42214.080000000002</v>
      </c>
      <c r="L119">
        <v>255767.63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 t="s">
        <v>24</v>
      </c>
      <c r="V119">
        <v>2148684</v>
      </c>
      <c r="W119" t="s">
        <v>40</v>
      </c>
    </row>
    <row r="120" spans="1:23" x14ac:dyDescent="0.3">
      <c r="A120">
        <v>3</v>
      </c>
      <c r="B120">
        <v>671</v>
      </c>
      <c r="C120">
        <v>0</v>
      </c>
      <c r="D120" t="s">
        <v>148</v>
      </c>
      <c r="E120" s="1">
        <v>45595</v>
      </c>
      <c r="F120">
        <v>5208</v>
      </c>
      <c r="G120">
        <v>1000</v>
      </c>
      <c r="H120">
        <v>10</v>
      </c>
      <c r="I120">
        <v>297981.71000000002</v>
      </c>
      <c r="J120">
        <v>2483.1799999999998</v>
      </c>
      <c r="K120">
        <v>42214.080000000002</v>
      </c>
      <c r="L120">
        <v>255767.63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 t="s">
        <v>24</v>
      </c>
      <c r="V120">
        <v>2150398</v>
      </c>
      <c r="W120" t="s">
        <v>40</v>
      </c>
    </row>
    <row r="121" spans="1:23" x14ac:dyDescent="0.3">
      <c r="A121">
        <v>3</v>
      </c>
      <c r="B121">
        <v>672</v>
      </c>
      <c r="C121">
        <v>0</v>
      </c>
      <c r="D121" t="s">
        <v>149</v>
      </c>
      <c r="E121" s="1">
        <v>45622</v>
      </c>
      <c r="F121">
        <v>5208</v>
      </c>
      <c r="G121">
        <v>2000</v>
      </c>
      <c r="H121">
        <v>10</v>
      </c>
      <c r="I121">
        <v>575912.42000000004</v>
      </c>
      <c r="J121">
        <v>4799.2700000000004</v>
      </c>
      <c r="K121">
        <v>76788.33</v>
      </c>
      <c r="L121">
        <v>499124.09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 t="s">
        <v>24</v>
      </c>
      <c r="V121">
        <v>2235744</v>
      </c>
      <c r="W121" t="s">
        <v>40</v>
      </c>
    </row>
    <row r="122" spans="1:23" x14ac:dyDescent="0.3">
      <c r="A122">
        <v>3</v>
      </c>
      <c r="B122">
        <v>673</v>
      </c>
      <c r="C122">
        <v>0</v>
      </c>
      <c r="D122" t="s">
        <v>149</v>
      </c>
      <c r="E122" s="1">
        <v>45622</v>
      </c>
      <c r="F122">
        <v>5208</v>
      </c>
      <c r="G122">
        <v>2000</v>
      </c>
      <c r="H122">
        <v>10</v>
      </c>
      <c r="I122">
        <v>575912.42000000004</v>
      </c>
      <c r="J122">
        <v>4799.2700000000004</v>
      </c>
      <c r="K122">
        <v>76788.33</v>
      </c>
      <c r="L122">
        <v>499124.09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 t="s">
        <v>24</v>
      </c>
      <c r="V122">
        <v>2235754</v>
      </c>
      <c r="W122" t="s">
        <v>40</v>
      </c>
    </row>
    <row r="123" spans="1:23" x14ac:dyDescent="0.3">
      <c r="A123">
        <v>1</v>
      </c>
      <c r="B123">
        <v>675</v>
      </c>
      <c r="C123">
        <v>0</v>
      </c>
      <c r="D123" t="s">
        <v>150</v>
      </c>
      <c r="E123" s="1">
        <v>45566</v>
      </c>
      <c r="F123">
        <v>5208</v>
      </c>
      <c r="G123">
        <v>1</v>
      </c>
      <c r="H123">
        <v>10</v>
      </c>
      <c r="I123">
        <v>65900</v>
      </c>
      <c r="J123">
        <v>549.16999999999996</v>
      </c>
      <c r="K123">
        <v>9335.83</v>
      </c>
      <c r="L123">
        <v>56564.17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 t="s">
        <v>24</v>
      </c>
      <c r="V123">
        <v>13563</v>
      </c>
      <c r="W123" t="s">
        <v>103</v>
      </c>
    </row>
    <row r="124" spans="1:23" x14ac:dyDescent="0.3">
      <c r="A124">
        <v>3</v>
      </c>
      <c r="B124">
        <v>686</v>
      </c>
      <c r="C124">
        <v>0</v>
      </c>
      <c r="D124" t="s">
        <v>151</v>
      </c>
      <c r="E124" s="1">
        <v>45642</v>
      </c>
      <c r="F124">
        <v>5208</v>
      </c>
      <c r="G124">
        <v>4000</v>
      </c>
      <c r="H124">
        <v>10</v>
      </c>
      <c r="I124">
        <v>1151824.8400000001</v>
      </c>
      <c r="J124">
        <v>9598.5400000000009</v>
      </c>
      <c r="K124">
        <v>143978.10999999999</v>
      </c>
      <c r="L124">
        <v>1007846.73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 t="s">
        <v>24</v>
      </c>
      <c r="V124">
        <v>2324472</v>
      </c>
      <c r="W124" t="s">
        <v>40</v>
      </c>
    </row>
    <row r="125" spans="1:23" x14ac:dyDescent="0.3">
      <c r="A125">
        <v>1</v>
      </c>
      <c r="B125">
        <v>700</v>
      </c>
      <c r="C125">
        <v>0</v>
      </c>
      <c r="D125" t="s">
        <v>152</v>
      </c>
      <c r="E125" s="1">
        <v>45708</v>
      </c>
      <c r="F125">
        <v>5208</v>
      </c>
      <c r="G125">
        <v>3000</v>
      </c>
      <c r="H125">
        <v>10</v>
      </c>
      <c r="I125">
        <v>894752.12</v>
      </c>
      <c r="J125">
        <v>7456.26</v>
      </c>
      <c r="K125">
        <v>96931.47</v>
      </c>
      <c r="L125">
        <v>797820.65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 t="s">
        <v>24</v>
      </c>
      <c r="V125">
        <v>2483370</v>
      </c>
      <c r="W125" t="s">
        <v>40</v>
      </c>
    </row>
    <row r="126" spans="1:23" x14ac:dyDescent="0.3">
      <c r="A126">
        <v>1</v>
      </c>
      <c r="B126">
        <v>712</v>
      </c>
      <c r="C126">
        <v>0</v>
      </c>
      <c r="D126" t="s">
        <v>153</v>
      </c>
      <c r="E126" s="1">
        <v>45692</v>
      </c>
      <c r="F126">
        <v>5208</v>
      </c>
      <c r="G126">
        <v>20000</v>
      </c>
      <c r="H126">
        <v>10</v>
      </c>
      <c r="I126">
        <v>79800</v>
      </c>
      <c r="J126">
        <v>665</v>
      </c>
      <c r="K126">
        <v>8645</v>
      </c>
      <c r="L126">
        <v>71155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 t="s">
        <v>24</v>
      </c>
      <c r="V126">
        <v>8</v>
      </c>
      <c r="W126" t="s">
        <v>154</v>
      </c>
    </row>
    <row r="127" spans="1:23" x14ac:dyDescent="0.3">
      <c r="A127">
        <v>1</v>
      </c>
      <c r="B127">
        <v>725</v>
      </c>
      <c r="C127">
        <v>1</v>
      </c>
      <c r="D127" t="s">
        <v>53</v>
      </c>
      <c r="E127" s="1">
        <v>45735</v>
      </c>
      <c r="F127">
        <v>5208</v>
      </c>
      <c r="G127">
        <v>2958</v>
      </c>
      <c r="H127">
        <v>10</v>
      </c>
      <c r="I127">
        <v>882117.67</v>
      </c>
      <c r="J127">
        <v>7350.98</v>
      </c>
      <c r="K127">
        <v>91294.42</v>
      </c>
      <c r="L127">
        <v>790823.25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 t="s">
        <v>24</v>
      </c>
      <c r="V127">
        <v>2549913</v>
      </c>
      <c r="W127" t="s">
        <v>40</v>
      </c>
    </row>
    <row r="128" spans="1:23" x14ac:dyDescent="0.3">
      <c r="A128">
        <v>1</v>
      </c>
      <c r="B128">
        <v>733</v>
      </c>
      <c r="C128">
        <v>0</v>
      </c>
      <c r="D128" t="s">
        <v>155</v>
      </c>
      <c r="E128" s="1">
        <v>45727</v>
      </c>
      <c r="F128">
        <v>5208</v>
      </c>
      <c r="G128">
        <v>1</v>
      </c>
      <c r="H128">
        <v>10</v>
      </c>
      <c r="I128">
        <v>9063.9699999999993</v>
      </c>
      <c r="J128">
        <v>75.53</v>
      </c>
      <c r="K128">
        <v>906.4</v>
      </c>
      <c r="L128">
        <v>8157.57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 t="s">
        <v>24</v>
      </c>
      <c r="V128">
        <v>34057</v>
      </c>
      <c r="W128" t="s">
        <v>156</v>
      </c>
    </row>
    <row r="129" spans="1:23" x14ac:dyDescent="0.3">
      <c r="A129">
        <v>3</v>
      </c>
      <c r="B129">
        <v>745</v>
      </c>
      <c r="C129">
        <v>0</v>
      </c>
      <c r="D129" t="s">
        <v>157</v>
      </c>
      <c r="E129" s="1">
        <v>45762</v>
      </c>
      <c r="F129">
        <v>5208</v>
      </c>
      <c r="G129">
        <v>500</v>
      </c>
      <c r="H129">
        <v>10</v>
      </c>
      <c r="I129">
        <v>127158.53</v>
      </c>
      <c r="J129">
        <v>1059.6500000000001</v>
      </c>
      <c r="K129">
        <v>12221.36</v>
      </c>
      <c r="L129">
        <v>114937.17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 t="s">
        <v>24</v>
      </c>
      <c r="V129">
        <v>2625619</v>
      </c>
      <c r="W129" t="s">
        <v>40</v>
      </c>
    </row>
    <row r="130" spans="1:23" x14ac:dyDescent="0.3">
      <c r="A130">
        <v>3</v>
      </c>
      <c r="B130">
        <v>746</v>
      </c>
      <c r="C130">
        <v>0</v>
      </c>
      <c r="D130" t="s">
        <v>158</v>
      </c>
      <c r="E130" s="1">
        <v>45757</v>
      </c>
      <c r="F130">
        <v>5208</v>
      </c>
      <c r="G130">
        <v>250</v>
      </c>
      <c r="H130">
        <v>10</v>
      </c>
      <c r="I130">
        <v>40632.9</v>
      </c>
      <c r="J130">
        <v>338.61</v>
      </c>
      <c r="K130">
        <v>3961.71</v>
      </c>
      <c r="L130">
        <v>36671.19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 t="s">
        <v>24</v>
      </c>
      <c r="V130">
        <v>2613564</v>
      </c>
      <c r="W130" t="s">
        <v>40</v>
      </c>
    </row>
    <row r="131" spans="1:23" x14ac:dyDescent="0.3">
      <c r="A131">
        <v>3</v>
      </c>
      <c r="B131">
        <v>747</v>
      </c>
      <c r="C131">
        <v>0</v>
      </c>
      <c r="D131" t="s">
        <v>159</v>
      </c>
      <c r="E131" s="1">
        <v>45757</v>
      </c>
      <c r="F131">
        <v>5208</v>
      </c>
      <c r="G131">
        <v>2976</v>
      </c>
      <c r="H131">
        <v>10</v>
      </c>
      <c r="I131">
        <v>842408.17</v>
      </c>
      <c r="J131">
        <v>7020.07</v>
      </c>
      <c r="K131">
        <v>82134.8</v>
      </c>
      <c r="L131">
        <v>760273.37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 t="s">
        <v>24</v>
      </c>
      <c r="V131">
        <v>2613564</v>
      </c>
      <c r="W131" t="s">
        <v>40</v>
      </c>
    </row>
    <row r="132" spans="1:23" x14ac:dyDescent="0.3">
      <c r="A132">
        <v>1</v>
      </c>
      <c r="B132">
        <v>748</v>
      </c>
      <c r="C132">
        <v>0</v>
      </c>
      <c r="D132" t="s">
        <v>160</v>
      </c>
      <c r="E132" s="1">
        <v>45764</v>
      </c>
      <c r="F132">
        <v>5208</v>
      </c>
      <c r="G132">
        <v>19</v>
      </c>
      <c r="H132">
        <v>10</v>
      </c>
      <c r="I132">
        <v>380.82</v>
      </c>
      <c r="J132">
        <v>3.17</v>
      </c>
      <c r="K132">
        <v>36.39</v>
      </c>
      <c r="L132">
        <v>344.43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 t="s">
        <v>24</v>
      </c>
      <c r="V132">
        <v>805314</v>
      </c>
      <c r="W132" t="s">
        <v>25</v>
      </c>
    </row>
    <row r="133" spans="1:23" x14ac:dyDescent="0.3">
      <c r="A133">
        <v>1</v>
      </c>
      <c r="B133">
        <v>749</v>
      </c>
      <c r="C133">
        <v>0</v>
      </c>
      <c r="D133" t="s">
        <v>161</v>
      </c>
      <c r="E133" s="1">
        <v>45764</v>
      </c>
      <c r="F133">
        <v>5208</v>
      </c>
      <c r="G133">
        <v>50</v>
      </c>
      <c r="H133">
        <v>10</v>
      </c>
      <c r="I133">
        <v>1002.16</v>
      </c>
      <c r="J133">
        <v>8.35</v>
      </c>
      <c r="K133">
        <v>95.77</v>
      </c>
      <c r="L133">
        <v>906.39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 t="s">
        <v>24</v>
      </c>
      <c r="V133">
        <v>805314</v>
      </c>
      <c r="W133" t="s">
        <v>25</v>
      </c>
    </row>
    <row r="134" spans="1:23" x14ac:dyDescent="0.3">
      <c r="A134">
        <v>1</v>
      </c>
      <c r="B134">
        <v>750</v>
      </c>
      <c r="C134">
        <v>0</v>
      </c>
      <c r="D134" t="s">
        <v>162</v>
      </c>
      <c r="E134" s="1">
        <v>45771</v>
      </c>
      <c r="F134">
        <v>5208</v>
      </c>
      <c r="G134">
        <v>36</v>
      </c>
      <c r="H134">
        <v>10</v>
      </c>
      <c r="I134">
        <v>1780.56</v>
      </c>
      <c r="J134">
        <v>14.84</v>
      </c>
      <c r="K134">
        <v>166.67</v>
      </c>
      <c r="L134">
        <v>1613.89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 t="s">
        <v>24</v>
      </c>
      <c r="V134">
        <v>805917</v>
      </c>
      <c r="W134" t="s">
        <v>25</v>
      </c>
    </row>
    <row r="135" spans="1:23" x14ac:dyDescent="0.3">
      <c r="A135">
        <v>1</v>
      </c>
      <c r="B135">
        <v>751</v>
      </c>
      <c r="C135">
        <v>0</v>
      </c>
      <c r="D135" t="s">
        <v>163</v>
      </c>
      <c r="E135" s="1">
        <v>45771</v>
      </c>
      <c r="F135">
        <v>5208</v>
      </c>
      <c r="G135">
        <v>131</v>
      </c>
      <c r="H135">
        <v>10</v>
      </c>
      <c r="I135">
        <v>2625.63</v>
      </c>
      <c r="J135">
        <v>21.88</v>
      </c>
      <c r="K135">
        <v>245.8</v>
      </c>
      <c r="L135">
        <v>2379.83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 t="s">
        <v>24</v>
      </c>
      <c r="V135">
        <v>805941</v>
      </c>
      <c r="W135" t="s">
        <v>25</v>
      </c>
    </row>
    <row r="136" spans="1:23" x14ac:dyDescent="0.3">
      <c r="A136">
        <v>1</v>
      </c>
      <c r="B136">
        <v>756</v>
      </c>
      <c r="C136">
        <v>0</v>
      </c>
      <c r="D136" t="s">
        <v>164</v>
      </c>
      <c r="E136" s="1">
        <v>45763</v>
      </c>
      <c r="F136">
        <v>5208</v>
      </c>
      <c r="G136">
        <v>10</v>
      </c>
      <c r="H136">
        <v>10</v>
      </c>
      <c r="I136">
        <v>1083.17</v>
      </c>
      <c r="J136">
        <v>9.0299999999999994</v>
      </c>
      <c r="K136">
        <v>103.81</v>
      </c>
      <c r="L136">
        <v>979.36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 t="s">
        <v>24</v>
      </c>
      <c r="V136">
        <v>285279</v>
      </c>
      <c r="W136" t="s">
        <v>85</v>
      </c>
    </row>
    <row r="137" spans="1:23" x14ac:dyDescent="0.3">
      <c r="A137">
        <v>1</v>
      </c>
      <c r="B137">
        <v>763</v>
      </c>
      <c r="C137">
        <v>0</v>
      </c>
      <c r="D137" t="s">
        <v>165</v>
      </c>
      <c r="E137" s="1">
        <v>45755</v>
      </c>
      <c r="F137">
        <v>5208</v>
      </c>
      <c r="G137">
        <v>20000</v>
      </c>
      <c r="H137">
        <v>10</v>
      </c>
      <c r="I137">
        <v>64638</v>
      </c>
      <c r="J137">
        <v>538.65</v>
      </c>
      <c r="K137">
        <v>6338.1</v>
      </c>
      <c r="L137">
        <v>58299.9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 t="s">
        <v>24</v>
      </c>
      <c r="V137">
        <v>1546</v>
      </c>
      <c r="W137" t="s">
        <v>154</v>
      </c>
    </row>
    <row r="138" spans="1:23" x14ac:dyDescent="0.3">
      <c r="A138">
        <v>3</v>
      </c>
      <c r="B138">
        <v>769</v>
      </c>
      <c r="C138">
        <v>0</v>
      </c>
      <c r="D138" t="s">
        <v>166</v>
      </c>
      <c r="E138" s="1">
        <v>45792</v>
      </c>
      <c r="F138">
        <v>5208</v>
      </c>
      <c r="G138">
        <v>250</v>
      </c>
      <c r="H138">
        <v>10</v>
      </c>
      <c r="I138">
        <v>40632.9</v>
      </c>
      <c r="J138">
        <v>338.61</v>
      </c>
      <c r="K138">
        <v>3571.76</v>
      </c>
      <c r="L138">
        <v>37061.14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 t="s">
        <v>24</v>
      </c>
      <c r="V138">
        <v>2711938</v>
      </c>
      <c r="W138" t="s">
        <v>40</v>
      </c>
    </row>
    <row r="139" spans="1:23" x14ac:dyDescent="0.3">
      <c r="A139">
        <v>3</v>
      </c>
      <c r="B139">
        <v>770</v>
      </c>
      <c r="C139">
        <v>0</v>
      </c>
      <c r="D139" t="s">
        <v>53</v>
      </c>
      <c r="E139" s="1">
        <v>45792</v>
      </c>
      <c r="F139">
        <v>5208</v>
      </c>
      <c r="G139">
        <v>1</v>
      </c>
      <c r="H139">
        <v>10</v>
      </c>
      <c r="I139">
        <v>842517.3</v>
      </c>
      <c r="J139">
        <v>7020.98</v>
      </c>
      <c r="K139">
        <v>74059.990000000005</v>
      </c>
      <c r="L139">
        <v>768457.31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 t="s">
        <v>24</v>
      </c>
      <c r="V139">
        <v>2711938</v>
      </c>
      <c r="W139" t="s">
        <v>40</v>
      </c>
    </row>
    <row r="140" spans="1:23" x14ac:dyDescent="0.3">
      <c r="A140">
        <v>3</v>
      </c>
      <c r="B140">
        <v>770</v>
      </c>
      <c r="C140">
        <v>1</v>
      </c>
      <c r="D140" t="s">
        <v>167</v>
      </c>
      <c r="E140" s="1">
        <v>45792</v>
      </c>
      <c r="F140">
        <v>5208</v>
      </c>
      <c r="G140">
        <v>1</v>
      </c>
      <c r="H140">
        <v>10</v>
      </c>
      <c r="I140">
        <v>7352.89</v>
      </c>
      <c r="J140">
        <v>61.27</v>
      </c>
      <c r="K140">
        <v>646.34</v>
      </c>
      <c r="L140">
        <v>6706.55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 t="s">
        <v>24</v>
      </c>
      <c r="V140">
        <v>2711938</v>
      </c>
      <c r="W140" t="s">
        <v>40</v>
      </c>
    </row>
    <row r="141" spans="1:23" x14ac:dyDescent="0.3">
      <c r="A141">
        <v>3</v>
      </c>
      <c r="B141">
        <v>789</v>
      </c>
      <c r="C141">
        <v>0</v>
      </c>
      <c r="D141" t="s">
        <v>168</v>
      </c>
      <c r="E141" s="1">
        <v>45817</v>
      </c>
      <c r="F141">
        <v>5208</v>
      </c>
      <c r="G141">
        <v>5000</v>
      </c>
      <c r="H141">
        <v>10</v>
      </c>
      <c r="I141">
        <v>1487321.98</v>
      </c>
      <c r="J141">
        <v>12394.35</v>
      </c>
      <c r="K141">
        <v>120638.33</v>
      </c>
      <c r="L141">
        <v>1366683.65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 t="s">
        <v>24</v>
      </c>
      <c r="V141">
        <v>2790914</v>
      </c>
      <c r="W141" t="s">
        <v>40</v>
      </c>
    </row>
    <row r="142" spans="1:23" x14ac:dyDescent="0.3">
      <c r="A142">
        <v>1</v>
      </c>
      <c r="B142">
        <v>790</v>
      </c>
      <c r="C142">
        <v>0</v>
      </c>
      <c r="D142" t="s">
        <v>169</v>
      </c>
      <c r="E142" s="1">
        <v>45811</v>
      </c>
      <c r="F142">
        <v>5208</v>
      </c>
      <c r="G142">
        <v>20000</v>
      </c>
      <c r="H142">
        <v>10</v>
      </c>
      <c r="I142">
        <v>64638</v>
      </c>
      <c r="J142">
        <v>538.65</v>
      </c>
      <c r="K142">
        <v>5350.58</v>
      </c>
      <c r="L142">
        <v>59287.42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 t="s">
        <v>24</v>
      </c>
      <c r="V142">
        <v>1549</v>
      </c>
      <c r="W142" t="s">
        <v>154</v>
      </c>
    </row>
    <row r="143" spans="1:23" x14ac:dyDescent="0.3">
      <c r="A143">
        <v>1</v>
      </c>
      <c r="B143">
        <v>819</v>
      </c>
      <c r="C143">
        <v>0</v>
      </c>
      <c r="D143" t="s">
        <v>170</v>
      </c>
      <c r="E143" s="1">
        <v>45885</v>
      </c>
      <c r="F143">
        <v>5208</v>
      </c>
      <c r="G143">
        <v>100</v>
      </c>
      <c r="H143">
        <v>10</v>
      </c>
      <c r="I143">
        <v>1437</v>
      </c>
      <c r="J143">
        <v>11.98</v>
      </c>
      <c r="K143">
        <v>90</v>
      </c>
      <c r="L143">
        <v>1347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 t="s">
        <v>24</v>
      </c>
      <c r="V143">
        <v>353937</v>
      </c>
      <c r="W143" t="s">
        <v>171</v>
      </c>
    </row>
    <row r="144" spans="1:23" x14ac:dyDescent="0.3">
      <c r="A144">
        <v>1</v>
      </c>
      <c r="B144">
        <v>825</v>
      </c>
      <c r="C144">
        <v>0</v>
      </c>
      <c r="D144" t="s">
        <v>172</v>
      </c>
      <c r="E144" s="1">
        <v>45885</v>
      </c>
      <c r="F144">
        <v>5208</v>
      </c>
      <c r="G144">
        <v>2</v>
      </c>
      <c r="H144">
        <v>10</v>
      </c>
      <c r="I144">
        <v>396.52</v>
      </c>
      <c r="J144">
        <v>3.3</v>
      </c>
      <c r="K144">
        <v>24.84</v>
      </c>
      <c r="L144">
        <v>371.68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 t="s">
        <v>24</v>
      </c>
      <c r="V144">
        <v>353937</v>
      </c>
      <c r="W144" t="s">
        <v>171</v>
      </c>
    </row>
    <row r="145" spans="1:23" x14ac:dyDescent="0.3">
      <c r="A145">
        <v>1</v>
      </c>
      <c r="B145">
        <v>828</v>
      </c>
      <c r="C145">
        <v>0</v>
      </c>
      <c r="D145" t="s">
        <v>173</v>
      </c>
      <c r="E145" s="1">
        <v>45922</v>
      </c>
      <c r="F145">
        <v>5208</v>
      </c>
      <c r="G145">
        <v>9358</v>
      </c>
      <c r="H145">
        <v>10</v>
      </c>
      <c r="I145">
        <v>25634.93</v>
      </c>
      <c r="J145">
        <v>213.63</v>
      </c>
      <c r="K145">
        <v>1345.85</v>
      </c>
      <c r="L145">
        <v>24289.08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 t="s">
        <v>24</v>
      </c>
      <c r="V145">
        <v>732</v>
      </c>
      <c r="W145" t="s">
        <v>174</v>
      </c>
    </row>
    <row r="146" spans="1:23" x14ac:dyDescent="0.3">
      <c r="A146">
        <v>1</v>
      </c>
      <c r="B146">
        <v>829</v>
      </c>
      <c r="C146">
        <v>0</v>
      </c>
      <c r="D146" t="s">
        <v>175</v>
      </c>
      <c r="E146" s="1">
        <v>45922</v>
      </c>
      <c r="F146">
        <v>5208</v>
      </c>
      <c r="G146">
        <v>5642</v>
      </c>
      <c r="H146">
        <v>10</v>
      </c>
      <c r="I146">
        <v>15455.47</v>
      </c>
      <c r="J146">
        <v>128.79</v>
      </c>
      <c r="K146">
        <v>811.4</v>
      </c>
      <c r="L146">
        <v>14644.07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 t="s">
        <v>24</v>
      </c>
      <c r="V146">
        <v>732</v>
      </c>
      <c r="W146" t="s">
        <v>174</v>
      </c>
    </row>
    <row r="147" spans="1:23" x14ac:dyDescent="0.3">
      <c r="A147">
        <v>1</v>
      </c>
      <c r="B147">
        <v>833</v>
      </c>
      <c r="C147">
        <v>0</v>
      </c>
      <c r="D147" t="s">
        <v>176</v>
      </c>
      <c r="E147" s="1">
        <v>45853</v>
      </c>
      <c r="F147">
        <v>5208</v>
      </c>
      <c r="G147">
        <v>7000</v>
      </c>
      <c r="H147">
        <v>10</v>
      </c>
      <c r="I147">
        <v>17963.88</v>
      </c>
      <c r="J147">
        <v>149.69999999999999</v>
      </c>
      <c r="K147">
        <v>1279.69</v>
      </c>
      <c r="L147">
        <v>16684.189999999999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 t="s">
        <v>24</v>
      </c>
      <c r="V147">
        <v>8166</v>
      </c>
      <c r="W147" t="s">
        <v>177</v>
      </c>
    </row>
    <row r="148" spans="1:23" x14ac:dyDescent="0.3">
      <c r="A148">
        <v>1</v>
      </c>
      <c r="B148">
        <v>877</v>
      </c>
      <c r="C148">
        <v>0</v>
      </c>
      <c r="D148" t="s">
        <v>53</v>
      </c>
      <c r="E148" s="1">
        <v>45990</v>
      </c>
      <c r="F148">
        <v>5208</v>
      </c>
      <c r="G148">
        <v>500</v>
      </c>
      <c r="H148">
        <v>10</v>
      </c>
      <c r="I148">
        <v>158753.75</v>
      </c>
      <c r="J148">
        <v>1322.95</v>
      </c>
      <c r="K148">
        <v>5379.99</v>
      </c>
      <c r="L148">
        <v>153373.76000000001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 t="s">
        <v>24</v>
      </c>
      <c r="V148">
        <v>3221542</v>
      </c>
      <c r="W148" t="s">
        <v>40</v>
      </c>
    </row>
    <row r="149" spans="1:23" x14ac:dyDescent="0.3">
      <c r="A149">
        <v>1</v>
      </c>
      <c r="B149">
        <v>878</v>
      </c>
      <c r="C149">
        <v>0</v>
      </c>
      <c r="D149" t="s">
        <v>178</v>
      </c>
      <c r="E149" s="1">
        <v>45990</v>
      </c>
      <c r="F149">
        <v>5208</v>
      </c>
      <c r="G149">
        <v>1500</v>
      </c>
      <c r="H149">
        <v>10</v>
      </c>
      <c r="I149">
        <v>444555</v>
      </c>
      <c r="J149">
        <v>3704.62</v>
      </c>
      <c r="K149">
        <v>15065.47</v>
      </c>
      <c r="L149">
        <v>429489.53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 t="s">
        <v>24</v>
      </c>
      <c r="V149">
        <v>3221542</v>
      </c>
      <c r="W149" t="s">
        <v>40</v>
      </c>
    </row>
    <row r="150" spans="1:23" x14ac:dyDescent="0.3">
      <c r="A150">
        <v>1</v>
      </c>
      <c r="B150">
        <v>882</v>
      </c>
      <c r="C150">
        <v>0</v>
      </c>
      <c r="D150" t="s">
        <v>179</v>
      </c>
      <c r="E150" s="1">
        <v>46028</v>
      </c>
      <c r="F150">
        <v>5208</v>
      </c>
      <c r="G150">
        <v>20000</v>
      </c>
      <c r="H150">
        <v>10</v>
      </c>
      <c r="I150">
        <v>51648</v>
      </c>
      <c r="J150">
        <v>430.4</v>
      </c>
      <c r="K150">
        <v>1221.77</v>
      </c>
      <c r="L150">
        <v>50426.23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 t="s">
        <v>24</v>
      </c>
      <c r="V150">
        <v>1062</v>
      </c>
      <c r="W150" t="s">
        <v>174</v>
      </c>
    </row>
    <row r="151" spans="1:23" x14ac:dyDescent="0.3">
      <c r="A151">
        <v>3</v>
      </c>
      <c r="B151">
        <v>909</v>
      </c>
      <c r="C151">
        <v>0</v>
      </c>
      <c r="D151" t="s">
        <v>180</v>
      </c>
      <c r="E151" s="1">
        <v>46084</v>
      </c>
      <c r="F151">
        <v>5208</v>
      </c>
      <c r="G151">
        <v>1</v>
      </c>
      <c r="H151">
        <v>10</v>
      </c>
      <c r="I151">
        <v>482444.72</v>
      </c>
      <c r="J151">
        <v>3761</v>
      </c>
      <c r="K151">
        <v>3761</v>
      </c>
      <c r="L151">
        <v>478683.72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 t="s">
        <v>24</v>
      </c>
      <c r="V151">
        <v>3380763</v>
      </c>
      <c r="W151" t="s">
        <v>40</v>
      </c>
    </row>
    <row r="152" spans="1:23" x14ac:dyDescent="0.3">
      <c r="A152">
        <v>3</v>
      </c>
      <c r="B152">
        <v>911</v>
      </c>
      <c r="C152">
        <v>0</v>
      </c>
      <c r="D152" t="s">
        <v>181</v>
      </c>
      <c r="E152" s="1">
        <v>46108</v>
      </c>
      <c r="F152">
        <v>5208</v>
      </c>
      <c r="G152">
        <v>1</v>
      </c>
      <c r="H152">
        <v>10</v>
      </c>
      <c r="I152">
        <v>104417.72</v>
      </c>
      <c r="J152">
        <v>140.34</v>
      </c>
      <c r="K152">
        <v>140.34</v>
      </c>
      <c r="L152">
        <v>104277.38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 t="s">
        <v>24</v>
      </c>
      <c r="V152">
        <v>3426819</v>
      </c>
      <c r="W152" t="s">
        <v>40</v>
      </c>
    </row>
    <row r="153" spans="1:23" x14ac:dyDescent="0.3">
      <c r="A153">
        <v>3</v>
      </c>
      <c r="B153">
        <v>912</v>
      </c>
      <c r="C153">
        <v>0</v>
      </c>
      <c r="D153" t="s">
        <v>182</v>
      </c>
      <c r="E153" s="1">
        <v>46112</v>
      </c>
      <c r="F153">
        <v>5208</v>
      </c>
      <c r="G153">
        <v>1</v>
      </c>
      <c r="H153">
        <v>10</v>
      </c>
      <c r="I153">
        <v>521083.88</v>
      </c>
      <c r="J153">
        <v>140.07</v>
      </c>
      <c r="K153">
        <v>140.07</v>
      </c>
      <c r="L153">
        <v>520943.81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 t="s">
        <v>24</v>
      </c>
      <c r="V153">
        <v>3431593</v>
      </c>
      <c r="W153" t="s">
        <v>40</v>
      </c>
    </row>
    <row r="154" spans="1:23" x14ac:dyDescent="0.3">
      <c r="A154">
        <v>1</v>
      </c>
      <c r="B154">
        <v>921</v>
      </c>
      <c r="C154">
        <v>0</v>
      </c>
      <c r="D154" t="s">
        <v>53</v>
      </c>
      <c r="E154" s="1">
        <v>46051</v>
      </c>
      <c r="F154">
        <v>5208</v>
      </c>
      <c r="G154">
        <v>990</v>
      </c>
      <c r="H154">
        <v>10</v>
      </c>
      <c r="I154">
        <v>631839.94999999995</v>
      </c>
      <c r="J154">
        <v>5265.33</v>
      </c>
      <c r="K154">
        <v>11040.22</v>
      </c>
      <c r="L154">
        <v>620799.73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 t="s">
        <v>24</v>
      </c>
      <c r="V154">
        <v>3319372</v>
      </c>
      <c r="W154" t="s">
        <v>40</v>
      </c>
    </row>
    <row r="155" spans="1:23" x14ac:dyDescent="0.3">
      <c r="A155">
        <v>1</v>
      </c>
      <c r="B155">
        <v>921</v>
      </c>
      <c r="C155">
        <v>1</v>
      </c>
      <c r="D155" t="s">
        <v>183</v>
      </c>
      <c r="E155" s="1">
        <v>46051</v>
      </c>
      <c r="F155">
        <v>5208</v>
      </c>
      <c r="G155">
        <v>10</v>
      </c>
      <c r="H155">
        <v>10</v>
      </c>
      <c r="I155">
        <v>3175.05</v>
      </c>
      <c r="J155">
        <v>26.46</v>
      </c>
      <c r="K155">
        <v>55.48</v>
      </c>
      <c r="L155">
        <v>3119.57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 t="s">
        <v>24</v>
      </c>
      <c r="V155">
        <v>3319372</v>
      </c>
      <c r="W155" t="s">
        <v>40</v>
      </c>
    </row>
    <row r="156" spans="1:23" x14ac:dyDescent="0.3">
      <c r="D156" s="3"/>
      <c r="E156" s="1"/>
      <c r="U156" s="3"/>
      <c r="W156" s="3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C4C9BD-F5A1-4354-BF6C-94DE4E7049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Planilha2</vt:lpstr>
      <vt:lpstr>Bens Ativos - 03-2026 - Onitel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Araujo</dc:creator>
  <cp:lastModifiedBy>Rafael Meireles</cp:lastModifiedBy>
  <dcterms:created xsi:type="dcterms:W3CDTF">2026-07-16T15:06:25Z</dcterms:created>
  <dcterms:modified xsi:type="dcterms:W3CDTF">2026-07-23T18:05:34Z</dcterms:modified>
</cp:coreProperties>
</file>