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sta\Downloads\"/>
    </mc:Choice>
  </mc:AlternateContent>
  <xr:revisionPtr revIDLastSave="0" documentId="8_{B61CABA7-E700-4531-8A68-D0F4C3CA7036}" xr6:coauthVersionLast="47" xr6:coauthVersionMax="47" xr10:uidLastSave="{00000000-0000-0000-0000-000000000000}"/>
  <bookViews>
    <workbookView xWindow="-108" yWindow="-108" windowWidth="23256" windowHeight="13896" activeTab="1" xr2:uid="{64F40452-A3D8-4C49-BFF5-9F85CDF9315C}"/>
  </bookViews>
  <sheets>
    <sheet name="Simulação Imp-fluxopgto" sheetId="1" r:id="rId1"/>
    <sheet name="fluxo" sheetId="3" r:id="rId2"/>
    <sheet name="Pgto Sell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1" i="3" l="1"/>
  <c r="K14" i="3"/>
  <c r="J13" i="3"/>
  <c r="J12" i="3"/>
  <c r="J11" i="3"/>
  <c r="C29" i="1"/>
  <c r="F7" i="3"/>
  <c r="AY7" i="3" s="1"/>
  <c r="BG6" i="3"/>
  <c r="AU6" i="3"/>
  <c r="J19" i="3"/>
  <c r="M6" i="3" a="1"/>
  <c r="W10" i="3"/>
  <c r="T10" i="3"/>
  <c r="Q10" i="3"/>
  <c r="N10" i="3"/>
  <c r="K9" i="3"/>
  <c r="J9" i="3" s="1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L5" i="3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AK5" i="3" s="1"/>
  <c r="AL5" i="3" s="1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AZ5" i="3" s="1"/>
  <c r="BA5" i="3" s="1"/>
  <c r="BB5" i="3" s="1"/>
  <c r="BC5" i="3" s="1"/>
  <c r="BD5" i="3" s="1"/>
  <c r="BE5" i="3" s="1"/>
  <c r="BF5" i="3" s="1"/>
  <c r="BG5" i="3" s="1"/>
  <c r="C23" i="1"/>
  <c r="B23" i="1" s="1"/>
  <c r="C22" i="1"/>
  <c r="N20" i="1"/>
  <c r="N18" i="1"/>
  <c r="N10" i="1"/>
  <c r="C20" i="1"/>
  <c r="G4" i="1"/>
  <c r="G54" i="1" s="1"/>
  <c r="C28" i="1"/>
  <c r="B7" i="2"/>
  <c r="H5" i="1" s="1"/>
  <c r="K5" i="1" s="1"/>
  <c r="AX2" i="2"/>
  <c r="AX3" i="2"/>
  <c r="AX4" i="2"/>
  <c r="AX5" i="2"/>
  <c r="AX6" i="2"/>
  <c r="C7" i="2"/>
  <c r="D7" i="2"/>
  <c r="H7" i="1" s="1"/>
  <c r="E7" i="2"/>
  <c r="H8" i="1" s="1"/>
  <c r="K8" i="1" s="1"/>
  <c r="F7" i="2"/>
  <c r="H9" i="1" s="1"/>
  <c r="K9" i="1" s="1"/>
  <c r="G7" i="2"/>
  <c r="H10" i="1" s="1"/>
  <c r="H7" i="2"/>
  <c r="H11" i="1" s="1"/>
  <c r="K11" i="1" s="1"/>
  <c r="I7" i="2"/>
  <c r="H12" i="1" s="1"/>
  <c r="K12" i="1" s="1"/>
  <c r="J7" i="2"/>
  <c r="H13" i="1" s="1"/>
  <c r="K7" i="2"/>
  <c r="H14" i="1" s="1"/>
  <c r="K14" i="1" s="1"/>
  <c r="L7" i="2"/>
  <c r="H15" i="1" s="1"/>
  <c r="K15" i="1" s="1"/>
  <c r="M7" i="2"/>
  <c r="H16" i="1" s="1"/>
  <c r="N7" i="2"/>
  <c r="H17" i="1" s="1"/>
  <c r="O7" i="2"/>
  <c r="H18" i="1" s="1"/>
  <c r="K18" i="1" s="1"/>
  <c r="P7" i="2"/>
  <c r="H19" i="1" s="1"/>
  <c r="K19" i="1" s="1"/>
  <c r="Q7" i="2"/>
  <c r="H20" i="1" s="1"/>
  <c r="K20" i="1" s="1"/>
  <c r="R7" i="2"/>
  <c r="H21" i="1" s="1"/>
  <c r="K21" i="1" s="1"/>
  <c r="S7" i="2"/>
  <c r="H22" i="1" s="1"/>
  <c r="K22" i="1" s="1"/>
  <c r="T7" i="2"/>
  <c r="H23" i="1" s="1"/>
  <c r="K23" i="1" s="1"/>
  <c r="U7" i="2"/>
  <c r="H24" i="1" s="1"/>
  <c r="K24" i="1" s="1"/>
  <c r="V7" i="2"/>
  <c r="H25" i="1" s="1"/>
  <c r="K25" i="1" s="1"/>
  <c r="W7" i="2"/>
  <c r="H26" i="1" s="1"/>
  <c r="K26" i="1" s="1"/>
  <c r="X7" i="2"/>
  <c r="H27" i="1" s="1"/>
  <c r="K27" i="1" s="1"/>
  <c r="Y7" i="2"/>
  <c r="H28" i="1" s="1"/>
  <c r="Z7" i="2"/>
  <c r="H29" i="1" s="1"/>
  <c r="AA7" i="2"/>
  <c r="H30" i="1" s="1"/>
  <c r="K30" i="1" s="1"/>
  <c r="AB7" i="2"/>
  <c r="H31" i="1" s="1"/>
  <c r="K31" i="1" s="1"/>
  <c r="AC7" i="2"/>
  <c r="H32" i="1" s="1"/>
  <c r="K32" i="1" s="1"/>
  <c r="AD7" i="2"/>
  <c r="H33" i="1" s="1"/>
  <c r="K33" i="1" s="1"/>
  <c r="AE7" i="2"/>
  <c r="H34" i="1" s="1"/>
  <c r="K34" i="1" s="1"/>
  <c r="AF7" i="2"/>
  <c r="H35" i="1" s="1"/>
  <c r="K35" i="1" s="1"/>
  <c r="AG7" i="2"/>
  <c r="H36" i="1" s="1"/>
  <c r="K36" i="1" s="1"/>
  <c r="AH7" i="2"/>
  <c r="H37" i="1" s="1"/>
  <c r="K37" i="1" s="1"/>
  <c r="AI7" i="2"/>
  <c r="H38" i="1" s="1"/>
  <c r="K38" i="1" s="1"/>
  <c r="AJ7" i="2"/>
  <c r="H39" i="1" s="1"/>
  <c r="K39" i="1" s="1"/>
  <c r="AK7" i="2"/>
  <c r="H40" i="1" s="1"/>
  <c r="AL7" i="2"/>
  <c r="H41" i="1" s="1"/>
  <c r="AM7" i="2"/>
  <c r="H42" i="1" s="1"/>
  <c r="K42" i="1" s="1"/>
  <c r="AN7" i="2"/>
  <c r="H43" i="1" s="1"/>
  <c r="K43" i="1" s="1"/>
  <c r="AO7" i="2"/>
  <c r="H44" i="1" s="1"/>
  <c r="K44" i="1" s="1"/>
  <c r="AP7" i="2"/>
  <c r="H45" i="1" s="1"/>
  <c r="K45" i="1" s="1"/>
  <c r="AQ7" i="2"/>
  <c r="H46" i="1" s="1"/>
  <c r="K46" i="1" s="1"/>
  <c r="AR7" i="2"/>
  <c r="H47" i="1" s="1"/>
  <c r="K47" i="1" s="1"/>
  <c r="AS7" i="2"/>
  <c r="H48" i="1" s="1"/>
  <c r="K48" i="1" s="1"/>
  <c r="AT7" i="2"/>
  <c r="H49" i="1" s="1"/>
  <c r="K49" i="1" s="1"/>
  <c r="AU7" i="2"/>
  <c r="H50" i="1" s="1"/>
  <c r="K50" i="1" s="1"/>
  <c r="AV7" i="2"/>
  <c r="AW7" i="2"/>
  <c r="H51" i="1"/>
  <c r="K51" i="1" s="1"/>
  <c r="H52" i="1"/>
  <c r="C5" i="1"/>
  <c r="C6" i="1" s="1"/>
  <c r="AN7" i="3" l="1"/>
  <c r="AO7" i="3"/>
  <c r="AP7" i="3"/>
  <c r="AQ7" i="3"/>
  <c r="AR7" i="3"/>
  <c r="AZ7" i="3"/>
  <c r="BA7" i="3"/>
  <c r="BB7" i="3"/>
  <c r="BC7" i="3"/>
  <c r="BD7" i="3"/>
  <c r="AE7" i="3"/>
  <c r="T7" i="3"/>
  <c r="U7" i="3"/>
  <c r="AG7" i="3"/>
  <c r="AS7" i="3"/>
  <c r="BE7" i="3"/>
  <c r="P7" i="3"/>
  <c r="R7" i="3"/>
  <c r="S7" i="3"/>
  <c r="AF7" i="3"/>
  <c r="F8" i="3"/>
  <c r="X8" i="3" s="1"/>
  <c r="V7" i="3"/>
  <c r="AH7" i="3"/>
  <c r="AT7" i="3"/>
  <c r="BF7" i="3"/>
  <c r="Q7" i="3"/>
  <c r="W7" i="3"/>
  <c r="AU7" i="3"/>
  <c r="BG7" i="3"/>
  <c r="L7" i="3"/>
  <c r="X7" i="3"/>
  <c r="AJ7" i="3"/>
  <c r="AV7" i="3"/>
  <c r="M7" i="3"/>
  <c r="Y7" i="3"/>
  <c r="AK7" i="3"/>
  <c r="AW7" i="3"/>
  <c r="AC7" i="3"/>
  <c r="AD7" i="3"/>
  <c r="N7" i="3"/>
  <c r="Z7" i="3"/>
  <c r="AL7" i="3"/>
  <c r="AX7" i="3"/>
  <c r="AB7" i="3"/>
  <c r="O7" i="3"/>
  <c r="AA7" i="3"/>
  <c r="AM7" i="3"/>
  <c r="C9" i="1"/>
  <c r="J40" i="1" s="1"/>
  <c r="H6" i="1"/>
  <c r="H54" i="1" s="1"/>
  <c r="AX7" i="2"/>
  <c r="K17" i="1"/>
  <c r="K29" i="1"/>
  <c r="K41" i="1"/>
  <c r="AD8" i="3" l="1"/>
  <c r="AD14" i="3" s="1"/>
  <c r="V8" i="3"/>
  <c r="V14" i="3" s="1"/>
  <c r="AX8" i="3"/>
  <c r="AX14" i="3" s="1"/>
  <c r="AL8" i="3"/>
  <c r="AL14" i="3" s="1"/>
  <c r="AZ8" i="3"/>
  <c r="AZ14" i="3" s="1"/>
  <c r="AW8" i="3"/>
  <c r="AW14" i="3" s="1"/>
  <c r="AK8" i="3"/>
  <c r="AK14" i="3" s="1"/>
  <c r="AN8" i="3"/>
  <c r="AN14" i="3" s="1"/>
  <c r="AV8" i="3"/>
  <c r="AV14" i="3" s="1"/>
  <c r="AJ8" i="3"/>
  <c r="AJ14" i="3" s="1"/>
  <c r="L8" i="3"/>
  <c r="L14" i="3" s="1"/>
  <c r="BB8" i="3"/>
  <c r="BB14" i="3" s="1"/>
  <c r="BA8" i="3"/>
  <c r="BA14" i="3" s="1"/>
  <c r="BF8" i="3"/>
  <c r="BF14" i="3" s="1"/>
  <c r="AT8" i="3"/>
  <c r="AT14" i="3" s="1"/>
  <c r="AH8" i="3"/>
  <c r="AH14" i="3" s="1"/>
  <c r="BC8" i="3"/>
  <c r="BC14" i="3" s="1"/>
  <c r="AY8" i="3"/>
  <c r="AY14" i="3" s="1"/>
  <c r="BE8" i="3"/>
  <c r="BE14" i="3" s="1"/>
  <c r="AS8" i="3"/>
  <c r="AS14" i="3" s="1"/>
  <c r="AG8" i="3"/>
  <c r="AG14" i="3" s="1"/>
  <c r="AQ8" i="3"/>
  <c r="AQ14" i="3" s="1"/>
  <c r="AP8" i="3"/>
  <c r="AP14" i="3" s="1"/>
  <c r="AO8" i="3"/>
  <c r="AO14" i="3" s="1"/>
  <c r="AM8" i="3"/>
  <c r="AM14" i="3" s="1"/>
  <c r="BD8" i="3"/>
  <c r="BD14" i="3" s="1"/>
  <c r="AR8" i="3"/>
  <c r="AR14" i="3" s="1"/>
  <c r="AC8" i="3"/>
  <c r="AC14" i="3" s="1"/>
  <c r="S8" i="3"/>
  <c r="AB8" i="3"/>
  <c r="AB14" i="3" s="1"/>
  <c r="O8" i="3"/>
  <c r="O14" i="3" s="1"/>
  <c r="X14" i="3"/>
  <c r="AA8" i="3"/>
  <c r="AA14" i="3" s="1"/>
  <c r="M8" i="3"/>
  <c r="M14" i="3" s="1"/>
  <c r="P8" i="3"/>
  <c r="P14" i="3" s="1"/>
  <c r="Q8" i="3"/>
  <c r="Q14" i="3" s="1"/>
  <c r="AU8" i="3"/>
  <c r="AU14" i="3"/>
  <c r="AE8" i="3"/>
  <c r="AE14" i="3" s="1"/>
  <c r="W8" i="3"/>
  <c r="W14" i="3" s="1"/>
  <c r="S14" i="3"/>
  <c r="AF8" i="3"/>
  <c r="AF14" i="3" s="1"/>
  <c r="N8" i="3"/>
  <c r="N14" i="3" s="1"/>
  <c r="T8" i="3"/>
  <c r="T14" i="3" s="1"/>
  <c r="Y8" i="3"/>
  <c r="Y14" i="3" s="1"/>
  <c r="Z8" i="3"/>
  <c r="Z14" i="3" s="1"/>
  <c r="U8" i="3"/>
  <c r="U14" i="3" s="1"/>
  <c r="R8" i="3"/>
  <c r="R14" i="3" s="1"/>
  <c r="BG8" i="3"/>
  <c r="BG14" i="3" s="1"/>
  <c r="J52" i="1"/>
  <c r="J28" i="1"/>
  <c r="K6" i="1"/>
  <c r="C7" i="1"/>
  <c r="C8" i="1"/>
  <c r="F52" i="1" l="1"/>
  <c r="F40" i="1"/>
  <c r="I16" i="1"/>
  <c r="K16" i="1" s="1"/>
  <c r="I13" i="1"/>
  <c r="K13" i="1" s="1"/>
  <c r="I10" i="1"/>
  <c r="K10" i="1" s="1"/>
  <c r="I7" i="1"/>
  <c r="K7" i="1" l="1"/>
  <c r="K40" i="1" l="1"/>
  <c r="K52" i="1" l="1"/>
  <c r="J54" i="1"/>
  <c r="C11" i="1" l="1"/>
  <c r="C12" i="1" l="1"/>
  <c r="C25" i="1" l="1"/>
  <c r="C13" i="1"/>
  <c r="I4" i="1" l="1"/>
  <c r="K10" i="3" l="1"/>
  <c r="I28" i="1"/>
  <c r="F4" i="1"/>
  <c r="I54" i="1" l="1"/>
  <c r="N23" i="1" s="1"/>
  <c r="AI10" i="3"/>
  <c r="J10" i="3" s="1"/>
  <c r="F28" i="1"/>
  <c r="K6" i="3"/>
  <c r="K4" i="1"/>
  <c r="N21" i="1" l="1"/>
  <c r="N25" i="1"/>
  <c r="AI6" i="3"/>
  <c r="F54" i="1"/>
  <c r="K28" i="1"/>
  <c r="K54" i="1" s="1"/>
  <c r="K8" i="3"/>
  <c r="K7" i="3"/>
  <c r="J6" i="3" l="1"/>
  <c r="AI7" i="3"/>
  <c r="J7" i="3" s="1"/>
  <c r="AI8" i="3"/>
  <c r="J8" i="3" s="1"/>
  <c r="J14" i="3" l="1"/>
  <c r="J20" i="3" s="1"/>
  <c r="AI1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<sst xmlns="http://schemas.openxmlformats.org/spreadsheetml/2006/main" count="78" uniqueCount="65">
  <si>
    <t>Assinante Adimplentes</t>
  </si>
  <si>
    <t>Divida Aquisições</t>
  </si>
  <si>
    <t>Valor/Assinante</t>
  </si>
  <si>
    <t>Imobilizado</t>
  </si>
  <si>
    <t>Intangivel</t>
  </si>
  <si>
    <t>FTTP</t>
  </si>
  <si>
    <t>Valor</t>
  </si>
  <si>
    <t>Entrada -40%</t>
  </si>
  <si>
    <t>Entrada</t>
  </si>
  <si>
    <t>Pgto sellers</t>
  </si>
  <si>
    <t>Saldo</t>
  </si>
  <si>
    <t>Tributação</t>
  </si>
  <si>
    <t>Carteira de Clientes/Ativos de rede</t>
  </si>
  <si>
    <t>Total</t>
  </si>
  <si>
    <t>Premissas</t>
  </si>
  <si>
    <t>total</t>
  </si>
  <si>
    <t>Mês</t>
  </si>
  <si>
    <t>Fee Advisor</t>
  </si>
  <si>
    <t>Tipo de Pagamento</t>
  </si>
  <si>
    <t>Total Geral</t>
  </si>
  <si>
    <t>Bsb Internet</t>
  </si>
  <si>
    <t>Cev Fibra Comercio e Servicos de Comunicacao Ltda</t>
  </si>
  <si>
    <t>Giptelecom</t>
  </si>
  <si>
    <t>Hilan Telecom Ltda</t>
  </si>
  <si>
    <t>Interfiber Telecom Ltda</t>
  </si>
  <si>
    <t>Total Mensal</t>
  </si>
  <si>
    <t>Totais</t>
  </si>
  <si>
    <t>Fluxo pagamento</t>
  </si>
  <si>
    <t>Fee advisor</t>
  </si>
  <si>
    <t>tributo</t>
  </si>
  <si>
    <t>.PORTA</t>
  </si>
  <si>
    <t>. Suporte N3</t>
  </si>
  <si>
    <t>. Valor porta ILUMINADA</t>
  </si>
  <si>
    <t>. Setup rede</t>
  </si>
  <si>
    <t>.  Imobilizado Onitel Telecom</t>
  </si>
  <si>
    <t>. Intangivel Onitel Telecom</t>
  </si>
  <si>
    <t>. Intangivel Onitel Serviços</t>
  </si>
  <si>
    <t>R$ por HC</t>
  </si>
  <si>
    <t>HC</t>
  </si>
  <si>
    <t>Meses</t>
  </si>
  <si>
    <t>atendimentos por mês</t>
  </si>
  <si>
    <t>meses</t>
  </si>
  <si>
    <t>preço atendimento</t>
  </si>
  <si>
    <t>fator de prontidão</t>
  </si>
  <si>
    <t>preço setup</t>
  </si>
  <si>
    <t>&gt;&gt; preço proximo do mercado</t>
  </si>
  <si>
    <t>&gt;&gt; preço no contrato</t>
  </si>
  <si>
    <t>&gt;&gt; mão de obra + drop pra uma instalação</t>
  </si>
  <si>
    <t>Valor total do setup</t>
  </si>
  <si>
    <t>Valor total do FTTP</t>
  </si>
  <si>
    <t>Valor do take or pay atendimento</t>
  </si>
  <si>
    <t>tirar do intang</t>
  </si>
  <si>
    <t>fttp</t>
  </si>
  <si>
    <t>Carteira</t>
  </si>
  <si>
    <t>Telecom</t>
  </si>
  <si>
    <t>Serviços</t>
  </si>
  <si>
    <t>Ativos</t>
  </si>
  <si>
    <t>EV</t>
  </si>
  <si>
    <t>falta</t>
  </si>
  <si>
    <t>ev/hc</t>
  </si>
  <si>
    <t>hc</t>
  </si>
  <si>
    <t>deduz daqui o fee &gt;&gt;</t>
  </si>
  <si>
    <t>Setup</t>
  </si>
  <si>
    <t>Porta</t>
  </si>
  <si>
    <t>Suporte 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</si>
</sst>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$&quot;\ #,##0;[Red]\-&quot;R$&quot;\ #,##0"/>
    <numFmt numFmtId="43" formatCode="_-* #,##0.00_-;\-* #,##0.00_-;_-* &quot;-&quot;??_-;_-@_-"/>
    <numFmt numFmtId="164" formatCode="_-* #,##0_-;\-* #,##0_-;_-* &quot;-&quot;??_-;_-@_-"/>
    <numFmt numFmtId="165" formatCode="&quot;R$&quot;\ #,##0"/>
    <numFmt numFmtId="166" formatCode="0.0%"/>
    <numFmt numFmtId="167" formatCode="#,##0_);\(#,##0\);&quot;-&quot;_)"/>
    <numFmt numFmtId="168" formatCode="#,##0.0_)%;\(#,##0.0%\);&quot;-&quot;\%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u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Protection="0"/>
    <xf numFmtId="9" fontId="1" fillId="0" borderId="0" applyFont="0" applyFill="0" applyBorder="0" applyAlignment="0" applyProtection="0"/>
    <xf numFmtId="0" fontId="4" fillId="0" borderId="0"/>
  </cellStyleXfs>
  <cellXfs count="67">
    <xf numFmtId="0" fontId="0" fillId="0" borderId="0" xfId="0"/>
    <xf numFmtId="0" fontId="1" fillId="0" borderId="0" xfId="0" applyFont="1"/>
    <xf numFmtId="164" fontId="0" fillId="0" borderId="0" xfId="1" applyNumberFormat="1" applyFont="1"/>
    <xf numFmtId="165" fontId="0" fillId="0" borderId="0" xfId="0" applyNumberFormat="1"/>
    <xf numFmtId="6" fontId="0" fillId="0" borderId="0" xfId="0" applyNumberFormat="1"/>
    <xf numFmtId="0" fontId="3" fillId="0" borderId="0" xfId="0" applyFont="1"/>
    <xf numFmtId="6" fontId="3" fillId="0" borderId="0" xfId="0" applyNumberFormat="1" applyFont="1"/>
    <xf numFmtId="0" fontId="0" fillId="0" borderId="7" xfId="0" applyBorder="1"/>
    <xf numFmtId="6" fontId="0" fillId="0" borderId="7" xfId="0" applyNumberFormat="1" applyBorder="1"/>
    <xf numFmtId="0" fontId="3" fillId="0" borderId="8" xfId="0" applyFont="1" applyBorder="1"/>
    <xf numFmtId="0" fontId="0" fillId="0" borderId="9" xfId="0" applyBorder="1"/>
    <xf numFmtId="0" fontId="1" fillId="0" borderId="10" xfId="0" applyFont="1" applyBorder="1"/>
    <xf numFmtId="6" fontId="0" fillId="0" borderId="11" xfId="0" applyNumberFormat="1" applyBorder="1"/>
    <xf numFmtId="165" fontId="0" fillId="0" borderId="11" xfId="0" applyNumberFormat="1" applyBorder="1"/>
    <xf numFmtId="0" fontId="0" fillId="0" borderId="12" xfId="0" applyBorder="1"/>
    <xf numFmtId="6" fontId="0" fillId="0" borderId="13" xfId="0" applyNumberFormat="1" applyBorder="1"/>
    <xf numFmtId="6" fontId="1" fillId="0" borderId="7" xfId="0" applyNumberFormat="1" applyFont="1" applyBorder="1"/>
    <xf numFmtId="17" fontId="1" fillId="0" borderId="10" xfId="0" applyNumberFormat="1" applyFont="1" applyBorder="1"/>
    <xf numFmtId="0" fontId="5" fillId="4" borderId="0" xfId="3" applyFont="1" applyFill="1"/>
    <xf numFmtId="17" fontId="5" fillId="4" borderId="0" xfId="3" applyNumberFormat="1" applyFont="1" applyFill="1" applyAlignment="1">
      <alignment horizontal="center"/>
    </xf>
    <xf numFmtId="17" fontId="5" fillId="5" borderId="0" xfId="3" applyNumberFormat="1" applyFont="1" applyFill="1" applyAlignment="1">
      <alignment horizontal="center"/>
    </xf>
    <xf numFmtId="0" fontId="4" fillId="0" borderId="0" xfId="3"/>
    <xf numFmtId="4" fontId="4" fillId="0" borderId="0" xfId="3" applyNumberFormat="1"/>
    <xf numFmtId="4" fontId="6" fillId="5" borderId="0" xfId="3" applyNumberFormat="1" applyFont="1" applyFill="1"/>
    <xf numFmtId="0" fontId="5" fillId="5" borderId="0" xfId="3" applyFont="1" applyFill="1"/>
    <xf numFmtId="0" fontId="2" fillId="3" borderId="7" xfId="0" applyFont="1" applyFill="1" applyBorder="1"/>
    <xf numFmtId="0" fontId="2" fillId="3" borderId="10" xfId="0" applyFont="1" applyFill="1" applyBorder="1"/>
    <xf numFmtId="0" fontId="0" fillId="0" borderId="3" xfId="0" applyBorder="1"/>
    <xf numFmtId="0" fontId="0" fillId="0" borderId="4" xfId="0" applyBorder="1"/>
    <xf numFmtId="6" fontId="7" fillId="6" borderId="5" xfId="0" applyNumberFormat="1" applyFont="1" applyFill="1" applyBorder="1"/>
    <xf numFmtId="6" fontId="7" fillId="6" borderId="17" xfId="0" applyNumberFormat="1" applyFont="1" applyFill="1" applyBorder="1"/>
    <xf numFmtId="6" fontId="7" fillId="6" borderId="6" xfId="0" applyNumberFormat="1" applyFont="1" applyFill="1" applyBorder="1"/>
    <xf numFmtId="166" fontId="0" fillId="0" borderId="0" xfId="2" applyNumberFormat="1" applyFont="1"/>
    <xf numFmtId="0" fontId="2" fillId="3" borderId="11" xfId="0" applyFont="1" applyFill="1" applyBorder="1"/>
    <xf numFmtId="43" fontId="0" fillId="0" borderId="0" xfId="1" applyFont="1"/>
    <xf numFmtId="43" fontId="0" fillId="0" borderId="7" xfId="1" applyFont="1" applyBorder="1"/>
    <xf numFmtId="0" fontId="3" fillId="2" borderId="14" xfId="0" applyFont="1" applyFill="1" applyBorder="1"/>
    <xf numFmtId="0" fontId="3" fillId="2" borderId="15" xfId="0" applyFont="1" applyFill="1" applyBorder="1"/>
    <xf numFmtId="0" fontId="3" fillId="2" borderId="16" xfId="0" applyFont="1" applyFill="1" applyBorder="1"/>
    <xf numFmtId="167" fontId="0" fillId="0" borderId="7" xfId="0" applyNumberFormat="1" applyBorder="1"/>
    <xf numFmtId="167" fontId="0" fillId="0" borderId="0" xfId="0" applyNumberFormat="1"/>
    <xf numFmtId="167" fontId="0" fillId="7" borderId="18" xfId="0" applyNumberFormat="1" applyFill="1" applyBorder="1"/>
    <xf numFmtId="0" fontId="0" fillId="0" borderId="19" xfId="0" applyBorder="1"/>
    <xf numFmtId="167" fontId="0" fillId="0" borderId="20" xfId="0" applyNumberFormat="1" applyBorder="1"/>
    <xf numFmtId="0" fontId="0" fillId="0" borderId="21" xfId="0" applyBorder="1"/>
    <xf numFmtId="167" fontId="0" fillId="0" borderId="22" xfId="0" applyNumberFormat="1" applyBorder="1"/>
    <xf numFmtId="0" fontId="0" fillId="0" borderId="22" xfId="0" applyBorder="1"/>
    <xf numFmtId="0" fontId="0" fillId="0" borderId="23" xfId="0" applyBorder="1"/>
    <xf numFmtId="167" fontId="0" fillId="7" borderId="24" xfId="0" applyNumberFormat="1" applyFill="1" applyBorder="1"/>
    <xf numFmtId="167" fontId="9" fillId="0" borderId="20" xfId="0" applyNumberFormat="1" applyFont="1" applyBorder="1"/>
    <xf numFmtId="167" fontId="9" fillId="0" borderId="22" xfId="0" applyNumberFormat="1" applyFont="1" applyBorder="1"/>
    <xf numFmtId="6" fontId="0" fillId="0" borderId="21" xfId="0" applyNumberFormat="1" applyBorder="1"/>
    <xf numFmtId="168" fontId="0" fillId="0" borderId="0" xfId="0" applyNumberFormat="1"/>
    <xf numFmtId="0" fontId="8" fillId="0" borderId="25" xfId="0" applyFont="1" applyBorder="1"/>
    <xf numFmtId="167" fontId="8" fillId="0" borderId="25" xfId="0" applyNumberFormat="1" applyFont="1" applyBorder="1"/>
    <xf numFmtId="0" fontId="0" fillId="8" borderId="26" xfId="0" applyFill="1" applyBorder="1"/>
    <xf numFmtId="17" fontId="0" fillId="8" borderId="26" xfId="0" applyNumberFormat="1" applyFill="1" applyBorder="1"/>
    <xf numFmtId="0" fontId="0" fillId="8" borderId="27" xfId="0" applyFill="1" applyBorder="1"/>
    <xf numFmtId="167" fontId="0" fillId="0" borderId="26" xfId="0" applyNumberFormat="1" applyBorder="1"/>
    <xf numFmtId="167" fontId="0" fillId="0" borderId="27" xfId="0" applyNumberFormat="1" applyBorder="1"/>
    <xf numFmtId="168" fontId="10" fillId="0" borderId="0" xfId="0" applyNumberFormat="1" applyFont="1"/>
    <xf numFmtId="167" fontId="10" fillId="0" borderId="0" xfId="0" applyNumberFormat="1" applyFont="1"/>
    <xf numFmtId="167" fontId="10" fillId="0" borderId="22" xfId="0" applyNumberFormat="1" applyFont="1" applyBorder="1"/>
    <xf numFmtId="167" fontId="0" fillId="0" borderId="28" xfId="0" applyNumberFormat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7" fontId="0" fillId="0" borderId="0" xfId="0" applyNumberFormat="1" applyBorder="1"/>
  </cellXfs>
  <cellStyles count="4">
    <cellStyle name="Normal" xfId="0" builtinId="0"/>
    <cellStyle name="Normal 2" xfId="3" xr:uid="{473AA21B-2A84-46B7-B869-3551EEC30F29}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1BF8-66D7-4428-B26D-761A6FB4EF3A}">
  <dimension ref="B1:O56"/>
  <sheetViews>
    <sheetView topLeftCell="A12" zoomScale="140" zoomScaleNormal="140" workbookViewId="0">
      <selection activeCell="C29" sqref="C29"/>
    </sheetView>
  </sheetViews>
  <sheetFormatPr defaultRowHeight="14.4" x14ac:dyDescent="0.3"/>
  <cols>
    <col min="1" max="1" width="0.6640625" customWidth="1"/>
    <col min="2" max="2" width="29.88671875" bestFit="1" customWidth="1"/>
    <col min="3" max="3" width="16.5546875" bestFit="1" customWidth="1"/>
    <col min="4" max="4" width="1.44140625" customWidth="1"/>
    <col min="5" max="5" width="13.88671875" bestFit="1" customWidth="1"/>
    <col min="6" max="11" width="16.6640625" customWidth="1"/>
    <col min="12" max="12" width="11.5546875" bestFit="1" customWidth="1"/>
    <col min="13" max="13" width="30.6640625" bestFit="1" customWidth="1"/>
    <col min="14" max="14" width="12.5546875" bestFit="1" customWidth="1"/>
  </cols>
  <sheetData>
    <row r="1" spans="2:15" ht="5.4" customHeight="1" thickBot="1" x14ac:dyDescent="0.35"/>
    <row r="2" spans="2:15" ht="15" thickBot="1" x14ac:dyDescent="0.35">
      <c r="B2" s="64" t="s">
        <v>14</v>
      </c>
      <c r="C2" s="65"/>
      <c r="E2" s="36" t="s">
        <v>27</v>
      </c>
      <c r="F2" s="37"/>
      <c r="G2" s="37"/>
      <c r="H2" s="37" t="s">
        <v>52</v>
      </c>
      <c r="I2" s="37"/>
      <c r="J2" s="37" t="s">
        <v>51</v>
      </c>
      <c r="K2" s="38"/>
    </row>
    <row r="3" spans="2:15" x14ac:dyDescent="0.3">
      <c r="B3" s="1" t="s">
        <v>0</v>
      </c>
      <c r="C3" s="2">
        <v>58000</v>
      </c>
      <c r="E3" s="26" t="s">
        <v>16</v>
      </c>
      <c r="F3" s="25" t="s">
        <v>4</v>
      </c>
      <c r="G3" s="25" t="s">
        <v>3</v>
      </c>
      <c r="H3" s="25" t="s">
        <v>1</v>
      </c>
      <c r="I3" s="25" t="s">
        <v>5</v>
      </c>
      <c r="J3" s="25" t="s">
        <v>17</v>
      </c>
      <c r="K3" s="33" t="s">
        <v>13</v>
      </c>
    </row>
    <row r="4" spans="2:15" x14ac:dyDescent="0.3">
      <c r="B4" s="1" t="s">
        <v>2</v>
      </c>
      <c r="C4" s="3">
        <v>2850</v>
      </c>
      <c r="E4" s="11" t="s">
        <v>8</v>
      </c>
      <c r="F4" s="35">
        <f>+C6-G4-H4-I4-J4</f>
        <v>7716927.1760942712</v>
      </c>
      <c r="G4" s="8">
        <f>+C17</f>
        <v>28762280.73</v>
      </c>
      <c r="H4" s="8">
        <v>0</v>
      </c>
      <c r="I4" s="8">
        <f>+C29*0.5+C28*0.3+C30*0.3</f>
        <v>26640792.093905725</v>
      </c>
      <c r="J4" s="8">
        <v>3000000</v>
      </c>
      <c r="K4" s="12">
        <f t="shared" ref="K4:K35" si="0">SUM(F4:J4)</f>
        <v>66119999.999999993</v>
      </c>
    </row>
    <row r="5" spans="2:15" x14ac:dyDescent="0.3">
      <c r="B5" s="1" t="s">
        <v>6</v>
      </c>
      <c r="C5" s="3">
        <f>+C4*C3</f>
        <v>165300000</v>
      </c>
      <c r="E5" s="17">
        <v>46235</v>
      </c>
      <c r="F5" s="7"/>
      <c r="G5" s="7"/>
      <c r="H5" s="39">
        <f>+'Pgto Sellers'!B7</f>
        <v>0</v>
      </c>
      <c r="I5" s="39"/>
      <c r="J5" s="8"/>
      <c r="K5" s="12">
        <f t="shared" si="0"/>
        <v>0</v>
      </c>
      <c r="L5" s="4"/>
    </row>
    <row r="6" spans="2:15" x14ac:dyDescent="0.3">
      <c r="B6" s="1" t="s">
        <v>7</v>
      </c>
      <c r="C6" s="3">
        <f>+C5*0.4</f>
        <v>66120000</v>
      </c>
      <c r="E6" s="17">
        <v>46266</v>
      </c>
      <c r="F6" s="7"/>
      <c r="G6" s="7"/>
      <c r="H6" s="39">
        <f>+'Pgto Sellers'!C7</f>
        <v>769015.09</v>
      </c>
      <c r="I6" s="39"/>
      <c r="J6" s="7"/>
      <c r="K6" s="12">
        <f t="shared" si="0"/>
        <v>769015.09</v>
      </c>
      <c r="L6" s="32"/>
      <c r="M6" s="42" t="s">
        <v>37</v>
      </c>
      <c r="N6" s="49">
        <v>50</v>
      </c>
      <c r="O6" t="s">
        <v>45</v>
      </c>
    </row>
    <row r="7" spans="2:15" x14ac:dyDescent="0.3">
      <c r="B7" s="1" t="s">
        <v>9</v>
      </c>
      <c r="C7" s="4">
        <f>+SUM(H5:H24)</f>
        <v>6531899.080000001</v>
      </c>
      <c r="E7" s="17">
        <v>46296</v>
      </c>
      <c r="F7" s="8"/>
      <c r="G7" s="8"/>
      <c r="H7" s="39">
        <f>+'Pgto Sellers'!D7</f>
        <v>852023.41999999993</v>
      </c>
      <c r="I7" s="39">
        <f>+($C$8/16-SUM(H5:H6))-H7</f>
        <v>4577711.49</v>
      </c>
      <c r="J7" s="8"/>
      <c r="K7" s="12">
        <f t="shared" si="0"/>
        <v>5429734.9100000001</v>
      </c>
      <c r="L7" s="4"/>
      <c r="M7" s="44" t="s">
        <v>38</v>
      </c>
      <c r="N7" s="50">
        <v>62439</v>
      </c>
    </row>
    <row r="8" spans="2:15" x14ac:dyDescent="0.3">
      <c r="B8" s="1" t="s">
        <v>10</v>
      </c>
      <c r="C8" s="3">
        <f>+C5-C6</f>
        <v>99180000</v>
      </c>
      <c r="E8" s="17">
        <v>46327</v>
      </c>
      <c r="F8" s="7"/>
      <c r="G8" s="7"/>
      <c r="H8" s="39">
        <f>+'Pgto Sellers'!E7</f>
        <v>772015.09</v>
      </c>
      <c r="I8" s="39"/>
      <c r="J8" s="7"/>
      <c r="K8" s="12">
        <f t="shared" si="0"/>
        <v>772015.09</v>
      </c>
      <c r="M8" s="51" t="s">
        <v>39</v>
      </c>
      <c r="N8" s="50">
        <v>12</v>
      </c>
    </row>
    <row r="9" spans="2:15" ht="15" thickBot="1" x14ac:dyDescent="0.35">
      <c r="B9" t="s">
        <v>28</v>
      </c>
      <c r="C9" s="3">
        <f>+C5*0.03</f>
        <v>4959000</v>
      </c>
      <c r="D9" s="4"/>
      <c r="E9" s="17">
        <v>46357</v>
      </c>
      <c r="F9" s="7"/>
      <c r="G9" s="7"/>
      <c r="H9" s="39">
        <f>+'Pgto Sellers'!F7</f>
        <v>540113.11</v>
      </c>
      <c r="I9" s="39"/>
      <c r="J9" s="7"/>
      <c r="K9" s="12">
        <f t="shared" si="0"/>
        <v>540113.11</v>
      </c>
      <c r="M9" s="44"/>
      <c r="N9" s="46"/>
    </row>
    <row r="10" spans="2:15" x14ac:dyDescent="0.3">
      <c r="B10" s="9" t="s">
        <v>11</v>
      </c>
      <c r="C10" s="10"/>
      <c r="D10" s="4"/>
      <c r="E10" s="17">
        <v>46388</v>
      </c>
      <c r="F10" s="16"/>
      <c r="G10" s="16"/>
      <c r="H10" s="39">
        <f>+'Pgto Sellers'!G7</f>
        <v>460129.27999999997</v>
      </c>
      <c r="I10" s="39">
        <f>+($C$8/16-SUM(H8:H9))-SUM(F10:H10)</f>
        <v>4426492.5199999996</v>
      </c>
      <c r="J10" s="8"/>
      <c r="K10" s="12">
        <f t="shared" si="0"/>
        <v>4886621.8</v>
      </c>
      <c r="M10" s="47" t="s">
        <v>49</v>
      </c>
      <c r="N10" s="48">
        <f>PRODUCT(N6:N8)/10^3</f>
        <v>37463.4</v>
      </c>
    </row>
    <row r="11" spans="2:15" x14ac:dyDescent="0.3">
      <c r="B11" s="11" t="s">
        <v>12</v>
      </c>
      <c r="C11" s="12">
        <f>+C20</f>
        <v>106257359.68698092</v>
      </c>
      <c r="E11" s="17">
        <v>46419</v>
      </c>
      <c r="F11" s="7"/>
      <c r="G11" s="7"/>
      <c r="H11" s="39">
        <f>+'Pgto Sellers'!H7</f>
        <v>537811.52</v>
      </c>
      <c r="I11" s="39"/>
      <c r="J11" s="7"/>
      <c r="K11" s="12">
        <f t="shared" si="0"/>
        <v>537811.52</v>
      </c>
    </row>
    <row r="12" spans="2:15" x14ac:dyDescent="0.3">
      <c r="B12" s="11" t="s">
        <v>5</v>
      </c>
      <c r="C12" s="13">
        <f>+C5-C11</f>
        <v>59042640.313019082</v>
      </c>
      <c r="E12" s="17">
        <v>46447</v>
      </c>
      <c r="F12" s="7"/>
      <c r="G12" s="7"/>
      <c r="H12" s="39">
        <f>+'Pgto Sellers'!I7</f>
        <v>443632.36</v>
      </c>
      <c r="I12" s="39"/>
      <c r="J12" s="7"/>
      <c r="K12" s="12">
        <f t="shared" si="0"/>
        <v>443632.36</v>
      </c>
      <c r="M12" s="42" t="s">
        <v>40</v>
      </c>
      <c r="N12" s="49">
        <v>500</v>
      </c>
    </row>
    <row r="13" spans="2:15" ht="15" thickBot="1" x14ac:dyDescent="0.35">
      <c r="B13" s="14" t="s">
        <v>15</v>
      </c>
      <c r="C13" s="15">
        <f>SUM(C11:C12)</f>
        <v>165300000</v>
      </c>
      <c r="E13" s="17">
        <v>46478</v>
      </c>
      <c r="F13" s="16"/>
      <c r="G13" s="16"/>
      <c r="H13" s="39">
        <f>+'Pgto Sellers'!J7</f>
        <v>522031.42</v>
      </c>
      <c r="I13" s="39">
        <f>+($C$8/16-SUM(H11:H12))-SUM(F13:H13)</f>
        <v>4695274.7</v>
      </c>
      <c r="J13" s="8"/>
      <c r="K13" s="12">
        <f t="shared" si="0"/>
        <v>5217306.12</v>
      </c>
      <c r="M13" s="44" t="s">
        <v>42</v>
      </c>
      <c r="N13" s="50">
        <v>200</v>
      </c>
      <c r="O13" t="s">
        <v>46</v>
      </c>
    </row>
    <row r="14" spans="2:15" x14ac:dyDescent="0.3">
      <c r="E14" s="17">
        <v>46508</v>
      </c>
      <c r="F14" s="7"/>
      <c r="G14" s="7"/>
      <c r="H14" s="39">
        <f>+'Pgto Sellers'!K7</f>
        <v>204484.7</v>
      </c>
      <c r="I14" s="39"/>
      <c r="J14" s="7"/>
      <c r="K14" s="12">
        <f t="shared" si="0"/>
        <v>204484.7</v>
      </c>
      <c r="M14" s="44" t="s">
        <v>41</v>
      </c>
      <c r="N14" s="50">
        <v>12</v>
      </c>
    </row>
    <row r="15" spans="2:15" x14ac:dyDescent="0.3">
      <c r="C15" s="3"/>
      <c r="E15" s="17">
        <v>46539</v>
      </c>
      <c r="F15" s="7"/>
      <c r="G15" s="7"/>
      <c r="H15" s="39">
        <f>+'Pgto Sellers'!L7</f>
        <v>204493.03</v>
      </c>
      <c r="I15" s="39"/>
      <c r="J15" s="7"/>
      <c r="K15" s="12">
        <f t="shared" si="0"/>
        <v>204493.03</v>
      </c>
      <c r="M15" s="44"/>
      <c r="N15" s="46"/>
    </row>
    <row r="16" spans="2:15" x14ac:dyDescent="0.3">
      <c r="B16" s="5"/>
      <c r="C16" s="6"/>
      <c r="E16" s="17">
        <v>46569</v>
      </c>
      <c r="F16" s="16"/>
      <c r="G16" s="16"/>
      <c r="H16" s="39">
        <f>+'Pgto Sellers'!M7</f>
        <v>204484.7</v>
      </c>
      <c r="I16" s="39">
        <f>+($C$8/16-SUM(H14:H15))-SUM(F16:H16)</f>
        <v>5585287.5699999994</v>
      </c>
      <c r="J16" s="8"/>
      <c r="K16" s="12">
        <f t="shared" si="0"/>
        <v>5789772.2699999996</v>
      </c>
      <c r="M16" s="44" t="s">
        <v>43</v>
      </c>
      <c r="N16" s="50">
        <v>4</v>
      </c>
    </row>
    <row r="17" spans="2:15" x14ac:dyDescent="0.3">
      <c r="B17" t="s">
        <v>34</v>
      </c>
      <c r="C17" s="4">
        <v>28762280.73</v>
      </c>
      <c r="E17" s="17">
        <v>46600</v>
      </c>
      <c r="F17" s="7"/>
      <c r="G17" s="7"/>
      <c r="H17" s="39">
        <f>+'Pgto Sellers'!N7</f>
        <v>204493.03</v>
      </c>
      <c r="I17" s="39"/>
      <c r="J17" s="7"/>
      <c r="K17" s="12">
        <f t="shared" si="0"/>
        <v>204493.03</v>
      </c>
      <c r="M17" s="44"/>
      <c r="N17" s="46"/>
    </row>
    <row r="18" spans="2:15" x14ac:dyDescent="0.3">
      <c r="B18" t="s">
        <v>35</v>
      </c>
      <c r="C18" s="4">
        <v>50137837.649999999</v>
      </c>
      <c r="E18" s="17">
        <v>46631</v>
      </c>
      <c r="F18" s="7"/>
      <c r="G18" s="7"/>
      <c r="H18" s="39">
        <f>+'Pgto Sellers'!O7</f>
        <v>201801.96</v>
      </c>
      <c r="I18" s="39"/>
      <c r="J18" s="7"/>
      <c r="K18" s="12">
        <f t="shared" si="0"/>
        <v>201801.96</v>
      </c>
      <c r="M18" s="47" t="s">
        <v>50</v>
      </c>
      <c r="N18" s="48">
        <f>PRODUCT(N12:N14)/10^3*N16</f>
        <v>4800</v>
      </c>
    </row>
    <row r="19" spans="2:15" x14ac:dyDescent="0.3">
      <c r="B19" t="s">
        <v>36</v>
      </c>
      <c r="C19" s="4">
        <v>27357240.66</v>
      </c>
      <c r="E19" s="17">
        <v>46661</v>
      </c>
      <c r="F19" s="7"/>
      <c r="G19" s="7"/>
      <c r="H19" s="39">
        <f>+'Pgto Sellers'!P7</f>
        <v>201810.33000000002</v>
      </c>
      <c r="I19" s="39"/>
      <c r="J19" s="7"/>
      <c r="K19" s="12">
        <f t="shared" si="0"/>
        <v>201810.33000000002</v>
      </c>
    </row>
    <row r="20" spans="2:15" x14ac:dyDescent="0.3">
      <c r="B20" t="s">
        <v>13</v>
      </c>
      <c r="C20" s="4">
        <f>++C22+C17+C18+C19</f>
        <v>106257359.68698092</v>
      </c>
      <c r="E20" s="17">
        <v>46692</v>
      </c>
      <c r="F20" s="7"/>
      <c r="G20" s="7"/>
      <c r="H20" s="39">
        <f>+'Pgto Sellers'!Q7</f>
        <v>85143.59</v>
      </c>
      <c r="I20" s="39"/>
      <c r="J20" s="7"/>
      <c r="K20" s="12">
        <f t="shared" si="0"/>
        <v>85143.59</v>
      </c>
      <c r="M20" s="42" t="s">
        <v>38</v>
      </c>
      <c r="N20" s="43">
        <f>N7</f>
        <v>62439</v>
      </c>
    </row>
    <row r="21" spans="2:15" x14ac:dyDescent="0.3">
      <c r="E21" s="17">
        <v>46722</v>
      </c>
      <c r="F21" s="7"/>
      <c r="G21" s="7"/>
      <c r="H21" s="39">
        <f>+'Pgto Sellers'!R7</f>
        <v>85143.59</v>
      </c>
      <c r="I21" s="39"/>
      <c r="J21" s="7"/>
      <c r="K21" s="12">
        <f t="shared" si="0"/>
        <v>85143.59</v>
      </c>
      <c r="M21" s="44" t="s">
        <v>44</v>
      </c>
      <c r="N21" s="45">
        <f>N23/N20*10^3</f>
        <v>268.73012561090155</v>
      </c>
      <c r="O21" t="s">
        <v>47</v>
      </c>
    </row>
    <row r="22" spans="2:15" x14ac:dyDescent="0.3">
      <c r="C22" s="52">
        <f>C18/SUM(C18:C19)</f>
        <v>0.64698092760724635</v>
      </c>
      <c r="E22" s="17">
        <v>46753</v>
      </c>
      <c r="F22" s="7"/>
      <c r="G22" s="7"/>
      <c r="H22" s="39">
        <f>+'Pgto Sellers'!S7</f>
        <v>82669.48</v>
      </c>
      <c r="I22" s="39"/>
      <c r="J22" s="7"/>
      <c r="K22" s="12">
        <f t="shared" si="0"/>
        <v>82669.48</v>
      </c>
      <c r="M22" s="44"/>
      <c r="N22" s="46"/>
    </row>
    <row r="23" spans="2:15" x14ac:dyDescent="0.3">
      <c r="B23" s="40">
        <f>C3-C23</f>
        <v>20475.106198779715</v>
      </c>
      <c r="C23" s="40">
        <f>C22*C3</f>
        <v>37524.893801220285</v>
      </c>
      <c r="E23" s="17">
        <v>46784</v>
      </c>
      <c r="F23" s="7"/>
      <c r="G23" s="7"/>
      <c r="H23" s="39">
        <f>+'Pgto Sellers'!T7</f>
        <v>80301.69</v>
      </c>
      <c r="I23" s="39"/>
      <c r="J23" s="7"/>
      <c r="K23" s="12">
        <f t="shared" si="0"/>
        <v>80301.69</v>
      </c>
      <c r="M23" s="47" t="s">
        <v>48</v>
      </c>
      <c r="N23" s="48">
        <f>(I54/10^3)-SUM(N18,N10)</f>
        <v>16779.24031301908</v>
      </c>
    </row>
    <row r="24" spans="2:15" x14ac:dyDescent="0.3">
      <c r="E24" s="17">
        <v>46813</v>
      </c>
      <c r="F24" s="7"/>
      <c r="G24" s="7"/>
      <c r="H24" s="39">
        <f>+'Pgto Sellers'!U7</f>
        <v>80301.69</v>
      </c>
      <c r="I24" s="39"/>
      <c r="J24" s="7"/>
      <c r="K24" s="12">
        <f t="shared" si="0"/>
        <v>80301.69</v>
      </c>
    </row>
    <row r="25" spans="2:15" x14ac:dyDescent="0.3">
      <c r="B25" t="s">
        <v>29</v>
      </c>
      <c r="C25" s="4">
        <f>++C12*0.1534</f>
        <v>9057141.0240171272</v>
      </c>
      <c r="E25" s="17">
        <v>46844</v>
      </c>
      <c r="F25" s="7"/>
      <c r="G25" s="7"/>
      <c r="H25" s="39">
        <f>+'Pgto Sellers'!V7</f>
        <v>80301.69</v>
      </c>
      <c r="I25" s="39"/>
      <c r="J25" s="7"/>
      <c r="K25" s="12">
        <f t="shared" si="0"/>
        <v>80301.69</v>
      </c>
      <c r="M25" t="s">
        <v>13</v>
      </c>
      <c r="N25" s="41">
        <f>SUM(N23,N18,N10)</f>
        <v>59042.640313019081</v>
      </c>
    </row>
    <row r="26" spans="2:15" x14ac:dyDescent="0.3">
      <c r="B26" t="s">
        <v>5</v>
      </c>
      <c r="C26" s="34">
        <v>62000</v>
      </c>
      <c r="E26" s="17">
        <v>46874</v>
      </c>
      <c r="F26" s="7"/>
      <c r="G26" s="7"/>
      <c r="H26" s="8">
        <f>+'Pgto Sellers'!W7</f>
        <v>0</v>
      </c>
      <c r="I26" s="7"/>
      <c r="J26" s="7"/>
      <c r="K26" s="12">
        <f t="shared" si="0"/>
        <v>0</v>
      </c>
    </row>
    <row r="27" spans="2:15" x14ac:dyDescent="0.3">
      <c r="B27" t="s">
        <v>30</v>
      </c>
      <c r="C27">
        <v>15</v>
      </c>
      <c r="E27" s="17">
        <v>46905</v>
      </c>
      <c r="F27" s="7"/>
      <c r="G27" s="7"/>
      <c r="H27" s="8">
        <f>+'Pgto Sellers'!X7</f>
        <v>0</v>
      </c>
      <c r="I27" s="7"/>
      <c r="J27" s="7"/>
      <c r="K27" s="12">
        <f t="shared" si="0"/>
        <v>0</v>
      </c>
    </row>
    <row r="28" spans="2:15" x14ac:dyDescent="0.3">
      <c r="B28" t="s">
        <v>32</v>
      </c>
      <c r="C28" s="3">
        <f>+C27*12*C26</f>
        <v>11160000</v>
      </c>
      <c r="E28" s="17">
        <v>46935</v>
      </c>
      <c r="F28" s="16">
        <f>++$C$8/4-SUM(H17:H28)-I28-J28</f>
        <v>9922951.0108866431</v>
      </c>
      <c r="G28" s="16"/>
      <c r="H28" s="8">
        <f>+'Pgto Sellers'!Y7</f>
        <v>0</v>
      </c>
      <c r="I28" s="8">
        <f>(C12-SUM(I4:I27))</f>
        <v>13117081.939113356</v>
      </c>
      <c r="J28" s="8">
        <f>+($C$9-$J$4)/3</f>
        <v>653000</v>
      </c>
      <c r="K28" s="12">
        <f t="shared" si="0"/>
        <v>23693032.949999999</v>
      </c>
    </row>
    <row r="29" spans="2:15" x14ac:dyDescent="0.3">
      <c r="B29" t="s">
        <v>33</v>
      </c>
      <c r="C29" s="4">
        <f>C31-C28-C30</f>
        <v>44640000</v>
      </c>
      <c r="E29" s="17">
        <v>46966</v>
      </c>
      <c r="F29" s="7"/>
      <c r="G29" s="7"/>
      <c r="H29" s="8">
        <f>+'Pgto Sellers'!Z7</f>
        <v>0</v>
      </c>
      <c r="I29" s="7"/>
      <c r="J29" s="7"/>
      <c r="K29" s="12">
        <f t="shared" si="0"/>
        <v>0</v>
      </c>
    </row>
    <row r="30" spans="2:15" x14ac:dyDescent="0.3">
      <c r="B30" t="s">
        <v>31</v>
      </c>
      <c r="C30" s="3">
        <v>3242640.313019082</v>
      </c>
      <c r="E30" s="17">
        <v>46997</v>
      </c>
      <c r="F30" s="7"/>
      <c r="G30" s="7"/>
      <c r="H30" s="8">
        <f>+'Pgto Sellers'!AA7</f>
        <v>0</v>
      </c>
      <c r="I30" s="7"/>
      <c r="J30" s="7"/>
      <c r="K30" s="12">
        <f t="shared" si="0"/>
        <v>0</v>
      </c>
    </row>
    <row r="31" spans="2:15" x14ac:dyDescent="0.3">
      <c r="C31" s="3">
        <v>59042640.313019082</v>
      </c>
      <c r="E31" s="17">
        <v>47027</v>
      </c>
      <c r="F31" s="7"/>
      <c r="G31" s="7"/>
      <c r="H31" s="8">
        <f>+'Pgto Sellers'!AB7</f>
        <v>0</v>
      </c>
      <c r="I31" s="7"/>
      <c r="J31" s="7"/>
      <c r="K31" s="12">
        <f t="shared" si="0"/>
        <v>0</v>
      </c>
    </row>
    <row r="32" spans="2:15" x14ac:dyDescent="0.3">
      <c r="E32" s="17">
        <v>47058</v>
      </c>
      <c r="F32" s="7"/>
      <c r="G32" s="7"/>
      <c r="H32" s="8">
        <f>+'Pgto Sellers'!AC7</f>
        <v>0</v>
      </c>
      <c r="I32" s="7"/>
      <c r="J32" s="7"/>
      <c r="K32" s="12">
        <f t="shared" si="0"/>
        <v>0</v>
      </c>
    </row>
    <row r="33" spans="5:11" x14ac:dyDescent="0.3">
      <c r="E33" s="17">
        <v>47088</v>
      </c>
      <c r="F33" s="7"/>
      <c r="G33" s="7"/>
      <c r="H33" s="8">
        <f>+'Pgto Sellers'!AD7</f>
        <v>0</v>
      </c>
      <c r="I33" s="7"/>
      <c r="J33" s="7"/>
      <c r="K33" s="12">
        <f t="shared" si="0"/>
        <v>0</v>
      </c>
    </row>
    <row r="34" spans="5:11" x14ac:dyDescent="0.3">
      <c r="E34" s="17">
        <v>47119</v>
      </c>
      <c r="F34" s="7"/>
      <c r="G34" s="7"/>
      <c r="H34" s="8">
        <f>+'Pgto Sellers'!AE7</f>
        <v>0</v>
      </c>
      <c r="I34" s="7"/>
      <c r="J34" s="7"/>
      <c r="K34" s="12">
        <f t="shared" si="0"/>
        <v>0</v>
      </c>
    </row>
    <row r="35" spans="5:11" x14ac:dyDescent="0.3">
      <c r="E35" s="17">
        <v>47150</v>
      </c>
      <c r="F35" s="7"/>
      <c r="G35" s="7"/>
      <c r="H35" s="8">
        <f>+'Pgto Sellers'!AF7</f>
        <v>0</v>
      </c>
      <c r="I35" s="7"/>
      <c r="J35" s="7"/>
      <c r="K35" s="12">
        <f t="shared" si="0"/>
        <v>0</v>
      </c>
    </row>
    <row r="36" spans="5:11" x14ac:dyDescent="0.3">
      <c r="E36" s="17">
        <v>47178</v>
      </c>
      <c r="F36" s="7"/>
      <c r="G36" s="7"/>
      <c r="H36" s="8">
        <f>+'Pgto Sellers'!AG7</f>
        <v>0</v>
      </c>
      <c r="I36" s="7"/>
      <c r="J36" s="7"/>
      <c r="K36" s="12">
        <f t="shared" ref="K36:K52" si="1">SUM(F36:J36)</f>
        <v>0</v>
      </c>
    </row>
    <row r="37" spans="5:11" x14ac:dyDescent="0.3">
      <c r="E37" s="17">
        <v>47209</v>
      </c>
      <c r="F37" s="7"/>
      <c r="G37" s="7"/>
      <c r="H37" s="8">
        <f>+'Pgto Sellers'!AH7</f>
        <v>0</v>
      </c>
      <c r="I37" s="7"/>
      <c r="J37" s="7"/>
      <c r="K37" s="12">
        <f t="shared" si="1"/>
        <v>0</v>
      </c>
    </row>
    <row r="38" spans="5:11" x14ac:dyDescent="0.3">
      <c r="E38" s="17">
        <v>47239</v>
      </c>
      <c r="F38" s="7"/>
      <c r="G38" s="7"/>
      <c r="H38" s="8">
        <f>+'Pgto Sellers'!AI7</f>
        <v>0</v>
      </c>
      <c r="I38" s="7"/>
      <c r="J38" s="7"/>
      <c r="K38" s="12">
        <f t="shared" si="1"/>
        <v>0</v>
      </c>
    </row>
    <row r="39" spans="5:11" x14ac:dyDescent="0.3">
      <c r="E39" s="17">
        <v>47270</v>
      </c>
      <c r="F39" s="7"/>
      <c r="G39" s="7"/>
      <c r="H39" s="8">
        <f>+'Pgto Sellers'!AJ7</f>
        <v>0</v>
      </c>
      <c r="I39" s="7"/>
      <c r="J39" s="7"/>
      <c r="K39" s="12">
        <f t="shared" si="1"/>
        <v>0</v>
      </c>
    </row>
    <row r="40" spans="5:11" x14ac:dyDescent="0.3">
      <c r="E40" s="17">
        <v>47300</v>
      </c>
      <c r="F40" s="16">
        <f>++$C$8/4-SUM(H29:H40)-I40-J40</f>
        <v>24142000</v>
      </c>
      <c r="G40" s="8"/>
      <c r="H40" s="8">
        <f>+'Pgto Sellers'!AK7</f>
        <v>0</v>
      </c>
      <c r="I40" s="8"/>
      <c r="J40" s="8">
        <f>+($C$9-$J$4)/3</f>
        <v>653000</v>
      </c>
      <c r="K40" s="12">
        <f t="shared" si="1"/>
        <v>24795000</v>
      </c>
    </row>
    <row r="41" spans="5:11" x14ac:dyDescent="0.3">
      <c r="E41" s="17">
        <v>47331</v>
      </c>
      <c r="F41" s="7"/>
      <c r="G41" s="7"/>
      <c r="H41" s="8">
        <f>+'Pgto Sellers'!AL7</f>
        <v>0</v>
      </c>
      <c r="I41" s="7"/>
      <c r="J41" s="7"/>
      <c r="K41" s="12">
        <f t="shared" si="1"/>
        <v>0</v>
      </c>
    </row>
    <row r="42" spans="5:11" x14ac:dyDescent="0.3">
      <c r="E42" s="17">
        <v>47362</v>
      </c>
      <c r="F42" s="7"/>
      <c r="G42" s="7"/>
      <c r="H42" s="8">
        <f>+'Pgto Sellers'!AM7</f>
        <v>0</v>
      </c>
      <c r="I42" s="7"/>
      <c r="J42" s="7"/>
      <c r="K42" s="12">
        <f t="shared" si="1"/>
        <v>0</v>
      </c>
    </row>
    <row r="43" spans="5:11" x14ac:dyDescent="0.3">
      <c r="E43" s="17">
        <v>47392</v>
      </c>
      <c r="F43" s="7"/>
      <c r="G43" s="7"/>
      <c r="H43" s="8">
        <f>+'Pgto Sellers'!AN7</f>
        <v>0</v>
      </c>
      <c r="I43" s="7"/>
      <c r="J43" s="7"/>
      <c r="K43" s="12">
        <f t="shared" si="1"/>
        <v>0</v>
      </c>
    </row>
    <row r="44" spans="5:11" x14ac:dyDescent="0.3">
      <c r="E44" s="17">
        <v>47423</v>
      </c>
      <c r="F44" s="7"/>
      <c r="G44" s="7"/>
      <c r="H44" s="8">
        <f>+'Pgto Sellers'!AO7</f>
        <v>0</v>
      </c>
      <c r="I44" s="7"/>
      <c r="J44" s="7"/>
      <c r="K44" s="12">
        <f t="shared" si="1"/>
        <v>0</v>
      </c>
    </row>
    <row r="45" spans="5:11" x14ac:dyDescent="0.3">
      <c r="E45" s="17">
        <v>47453</v>
      </c>
      <c r="F45" s="7"/>
      <c r="G45" s="7"/>
      <c r="H45" s="8">
        <f>+'Pgto Sellers'!AP7</f>
        <v>0</v>
      </c>
      <c r="I45" s="7"/>
      <c r="J45" s="7"/>
      <c r="K45" s="12">
        <f t="shared" si="1"/>
        <v>0</v>
      </c>
    </row>
    <row r="46" spans="5:11" x14ac:dyDescent="0.3">
      <c r="E46" s="17">
        <v>47484</v>
      </c>
      <c r="F46" s="7"/>
      <c r="G46" s="7"/>
      <c r="H46" s="8">
        <f>+'Pgto Sellers'!AQ7</f>
        <v>0</v>
      </c>
      <c r="I46" s="7"/>
      <c r="J46" s="7"/>
      <c r="K46" s="12">
        <f t="shared" si="1"/>
        <v>0</v>
      </c>
    </row>
    <row r="47" spans="5:11" x14ac:dyDescent="0.3">
      <c r="E47" s="17">
        <v>47515</v>
      </c>
      <c r="F47" s="7"/>
      <c r="G47" s="7"/>
      <c r="H47" s="8">
        <f>+'Pgto Sellers'!AR7</f>
        <v>0</v>
      </c>
      <c r="I47" s="7"/>
      <c r="J47" s="7"/>
      <c r="K47" s="12">
        <f t="shared" si="1"/>
        <v>0</v>
      </c>
    </row>
    <row r="48" spans="5:11" x14ac:dyDescent="0.3">
      <c r="E48" s="17">
        <v>47543</v>
      </c>
      <c r="F48" s="7"/>
      <c r="G48" s="7"/>
      <c r="H48" s="8">
        <f>+'Pgto Sellers'!AS7</f>
        <v>0</v>
      </c>
      <c r="I48" s="7"/>
      <c r="J48" s="7"/>
      <c r="K48" s="12">
        <f t="shared" si="1"/>
        <v>0</v>
      </c>
    </row>
    <row r="49" spans="5:11" x14ac:dyDescent="0.3">
      <c r="E49" s="17">
        <v>47574</v>
      </c>
      <c r="F49" s="7"/>
      <c r="G49" s="7"/>
      <c r="H49" s="8">
        <f>+'Pgto Sellers'!AT7</f>
        <v>0</v>
      </c>
      <c r="I49" s="7"/>
      <c r="J49" s="7"/>
      <c r="K49" s="12">
        <f t="shared" si="1"/>
        <v>0</v>
      </c>
    </row>
    <row r="50" spans="5:11" x14ac:dyDescent="0.3">
      <c r="E50" s="17">
        <v>47604</v>
      </c>
      <c r="F50" s="7"/>
      <c r="G50" s="7"/>
      <c r="H50" s="8">
        <f>+'Pgto Sellers'!AU7</f>
        <v>0</v>
      </c>
      <c r="I50" s="7"/>
      <c r="J50" s="7"/>
      <c r="K50" s="12">
        <f t="shared" si="1"/>
        <v>0</v>
      </c>
    </row>
    <row r="51" spans="5:11" x14ac:dyDescent="0.3">
      <c r="E51" s="17">
        <v>47635</v>
      </c>
      <c r="F51" s="7"/>
      <c r="G51" s="7"/>
      <c r="H51" s="8">
        <f>+'Pgto Sellers'!AV7</f>
        <v>0</v>
      </c>
      <c r="I51" s="7"/>
      <c r="J51" s="7"/>
      <c r="K51" s="12">
        <f t="shared" si="1"/>
        <v>0</v>
      </c>
    </row>
    <row r="52" spans="5:11" x14ac:dyDescent="0.3">
      <c r="E52" s="17">
        <v>47665</v>
      </c>
      <c r="F52" s="16">
        <f>++$C$8/4-SUM(H41:H52)-I52-J52</f>
        <v>24142000</v>
      </c>
      <c r="G52" s="8"/>
      <c r="H52" s="8">
        <f>+'Pgto Sellers'!AW7</f>
        <v>0</v>
      </c>
      <c r="I52" s="7"/>
      <c r="J52" s="8">
        <f>+($C$9-$J$4)/3</f>
        <v>653000</v>
      </c>
      <c r="K52" s="12">
        <f t="shared" si="1"/>
        <v>24795000</v>
      </c>
    </row>
    <row r="53" spans="5:11" hidden="1" x14ac:dyDescent="0.3">
      <c r="E53" s="27"/>
      <c r="K53" s="28"/>
    </row>
    <row r="54" spans="5:11" ht="15" thickBot="1" x14ac:dyDescent="0.35">
      <c r="E54" s="29" t="s">
        <v>26</v>
      </c>
      <c r="F54" s="30">
        <f>SUM(F4:F52)</f>
        <v>65923878.186980918</v>
      </c>
      <c r="G54" s="30">
        <f>SUM(G4:G52)</f>
        <v>28762280.73</v>
      </c>
      <c r="H54" s="30">
        <f>SUM(H4:H52)</f>
        <v>6612200.7700000014</v>
      </c>
      <c r="I54" s="30">
        <f>SUM(I4:I52)</f>
        <v>59042640.313019082</v>
      </c>
      <c r="J54" s="30">
        <f t="shared" ref="J54:K54" si="2">SUM(J4:J52)</f>
        <v>4959000</v>
      </c>
      <c r="K54" s="31">
        <f t="shared" si="2"/>
        <v>165300000</v>
      </c>
    </row>
    <row r="55" spans="5:11" x14ac:dyDescent="0.3">
      <c r="E55" s="3"/>
      <c r="K55" s="4"/>
    </row>
    <row r="56" spans="5:11" x14ac:dyDescent="0.3">
      <c r="K56" s="4"/>
    </row>
  </sheetData>
  <mergeCells count="1">
    <mergeCell ref="B2:C2"/>
  </mergeCells>
  <pageMargins left="0.511811024" right="0.511811024" top="0.78740157499999996" bottom="0.78740157499999996" header="0.31496062000000002" footer="0.31496062000000002"/>
  <headerFooter>
    <oddFooter>&amp;L_x000D_&amp;1#&amp;"Aptos"&amp;10&amp;K000000 PÚBLICA</oddFooter>
  </headerFooter>
  <ignoredErrors>
    <ignoredError sqref="C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5FB8-BE7F-4606-8A01-1E90F555377E}">
  <dimension ref="D4:BG20"/>
  <sheetViews>
    <sheetView tabSelected="1" topLeftCell="D1" zoomScale="130" zoomScaleNormal="130" workbookViewId="0">
      <selection activeCell="L11" sqref="L11"/>
    </sheetView>
  </sheetViews>
  <sheetFormatPr defaultRowHeight="14.4" x14ac:dyDescent="0.3"/>
  <cols>
    <col min="6" max="6" width="11.5546875" bestFit="1" customWidth="1"/>
    <col min="7" max="7" width="11.5546875" customWidth="1"/>
    <col min="10" max="10" width="14.44140625" bestFit="1" customWidth="1"/>
    <col min="11" max="11" width="12.88671875" bestFit="1" customWidth="1"/>
    <col min="13" max="14" width="11.44140625" bestFit="1" customWidth="1"/>
    <col min="17" max="17" width="11.44140625" bestFit="1" customWidth="1"/>
    <col min="20" max="20" width="11.44140625" bestFit="1" customWidth="1"/>
    <col min="23" max="23" width="11.44140625" bestFit="1" customWidth="1"/>
    <col min="35" max="35" width="12.88671875" bestFit="1" customWidth="1"/>
    <col min="47" max="47" width="11.5546875" bestFit="1" customWidth="1"/>
    <col min="59" max="59" width="13.33203125" bestFit="1" customWidth="1"/>
  </cols>
  <sheetData>
    <row r="4" spans="4:59" x14ac:dyDescent="0.3">
      <c r="K4">
        <v>0</v>
      </c>
      <c r="L4">
        <f>K4+1</f>
        <v>1</v>
      </c>
      <c r="M4">
        <f t="shared" ref="M4:AC4" si="0">L4+1</f>
        <v>2</v>
      </c>
      <c r="N4">
        <f t="shared" si="0"/>
        <v>3</v>
      </c>
      <c r="O4">
        <f t="shared" si="0"/>
        <v>4</v>
      </c>
      <c r="P4">
        <f t="shared" si="0"/>
        <v>5</v>
      </c>
      <c r="Q4">
        <f t="shared" si="0"/>
        <v>6</v>
      </c>
      <c r="R4">
        <f t="shared" si="0"/>
        <v>7</v>
      </c>
      <c r="S4">
        <f t="shared" si="0"/>
        <v>8</v>
      </c>
      <c r="T4">
        <f t="shared" si="0"/>
        <v>9</v>
      </c>
      <c r="U4">
        <f t="shared" si="0"/>
        <v>10</v>
      </c>
      <c r="V4">
        <f t="shared" si="0"/>
        <v>11</v>
      </c>
      <c r="W4">
        <f t="shared" si="0"/>
        <v>12</v>
      </c>
      <c r="X4">
        <f t="shared" si="0"/>
        <v>13</v>
      </c>
      <c r="Y4">
        <f t="shared" si="0"/>
        <v>14</v>
      </c>
      <c r="Z4">
        <f t="shared" si="0"/>
        <v>15</v>
      </c>
      <c r="AA4">
        <f t="shared" si="0"/>
        <v>16</v>
      </c>
      <c r="AB4">
        <f t="shared" si="0"/>
        <v>17</v>
      </c>
      <c r="AC4">
        <f t="shared" si="0"/>
        <v>18</v>
      </c>
      <c r="AD4">
        <f t="shared" ref="AD4:AJ4" si="1">AC4+1</f>
        <v>19</v>
      </c>
      <c r="AE4">
        <f t="shared" si="1"/>
        <v>20</v>
      </c>
      <c r="AF4">
        <f t="shared" si="1"/>
        <v>21</v>
      </c>
      <c r="AG4">
        <f t="shared" si="1"/>
        <v>22</v>
      </c>
      <c r="AH4">
        <f t="shared" si="1"/>
        <v>23</v>
      </c>
      <c r="AI4">
        <f t="shared" si="1"/>
        <v>24</v>
      </c>
      <c r="AJ4">
        <f t="shared" si="1"/>
        <v>25</v>
      </c>
      <c r="AK4">
        <f t="shared" ref="AK4:BG4" si="2">AJ4+1</f>
        <v>26</v>
      </c>
      <c r="AL4">
        <f t="shared" si="2"/>
        <v>27</v>
      </c>
      <c r="AM4">
        <f t="shared" si="2"/>
        <v>28</v>
      </c>
      <c r="AN4">
        <f t="shared" si="2"/>
        <v>29</v>
      </c>
      <c r="AO4">
        <f t="shared" si="2"/>
        <v>30</v>
      </c>
      <c r="AP4">
        <f t="shared" si="2"/>
        <v>31</v>
      </c>
      <c r="AQ4">
        <f t="shared" si="2"/>
        <v>32</v>
      </c>
      <c r="AR4">
        <f t="shared" si="2"/>
        <v>33</v>
      </c>
      <c r="AS4">
        <f t="shared" si="2"/>
        <v>34</v>
      </c>
      <c r="AT4">
        <f t="shared" si="2"/>
        <v>35</v>
      </c>
      <c r="AU4">
        <f t="shared" si="2"/>
        <v>36</v>
      </c>
      <c r="AV4">
        <f t="shared" si="2"/>
        <v>37</v>
      </c>
      <c r="AW4">
        <f t="shared" si="2"/>
        <v>38</v>
      </c>
      <c r="AX4">
        <f t="shared" si="2"/>
        <v>39</v>
      </c>
      <c r="AY4">
        <f t="shared" si="2"/>
        <v>40</v>
      </c>
      <c r="AZ4">
        <f t="shared" si="2"/>
        <v>41</v>
      </c>
      <c r="BA4">
        <f t="shared" si="2"/>
        <v>42</v>
      </c>
      <c r="BB4">
        <f t="shared" si="2"/>
        <v>43</v>
      </c>
      <c r="BC4">
        <f t="shared" si="2"/>
        <v>44</v>
      </c>
      <c r="BD4">
        <f t="shared" si="2"/>
        <v>45</v>
      </c>
      <c r="BE4">
        <f t="shared" si="2"/>
        <v>46</v>
      </c>
      <c r="BF4">
        <f t="shared" si="2"/>
        <v>47</v>
      </c>
      <c r="BG4">
        <f t="shared" si="2"/>
        <v>48</v>
      </c>
    </row>
    <row r="5" spans="4:59" x14ac:dyDescent="0.3">
      <c r="H5" s="55"/>
      <c r="I5" s="55"/>
      <c r="J5" s="57"/>
      <c r="K5" s="56">
        <v>46204</v>
      </c>
      <c r="L5" s="56">
        <f>EDATE(K5,1)</f>
        <v>46235</v>
      </c>
      <c r="M5" s="56">
        <f t="shared" ref="M5:AC5" si="3">EDATE(L5,1)</f>
        <v>46266</v>
      </c>
      <c r="N5" s="56">
        <f t="shared" si="3"/>
        <v>46296</v>
      </c>
      <c r="O5" s="56">
        <f t="shared" si="3"/>
        <v>46327</v>
      </c>
      <c r="P5" s="56">
        <f t="shared" si="3"/>
        <v>46357</v>
      </c>
      <c r="Q5" s="56">
        <f t="shared" si="3"/>
        <v>46388</v>
      </c>
      <c r="R5" s="56">
        <f t="shared" si="3"/>
        <v>46419</v>
      </c>
      <c r="S5" s="56">
        <f t="shared" si="3"/>
        <v>46447</v>
      </c>
      <c r="T5" s="56">
        <f t="shared" si="3"/>
        <v>46478</v>
      </c>
      <c r="U5" s="56">
        <f t="shared" si="3"/>
        <v>46508</v>
      </c>
      <c r="V5" s="56">
        <f t="shared" si="3"/>
        <v>46539</v>
      </c>
      <c r="W5" s="56">
        <f t="shared" si="3"/>
        <v>46569</v>
      </c>
      <c r="X5" s="56">
        <f t="shared" si="3"/>
        <v>46600</v>
      </c>
      <c r="Y5" s="56">
        <f t="shared" si="3"/>
        <v>46631</v>
      </c>
      <c r="Z5" s="56">
        <f t="shared" si="3"/>
        <v>46661</v>
      </c>
      <c r="AA5" s="56">
        <f t="shared" si="3"/>
        <v>46692</v>
      </c>
      <c r="AB5" s="56">
        <f t="shared" si="3"/>
        <v>46722</v>
      </c>
      <c r="AC5" s="56">
        <f t="shared" si="3"/>
        <v>46753</v>
      </c>
      <c r="AD5" s="56">
        <f t="shared" ref="AD5:AJ5" si="4">EDATE(AC5,1)</f>
        <v>46784</v>
      </c>
      <c r="AE5" s="56">
        <f t="shared" si="4"/>
        <v>46813</v>
      </c>
      <c r="AF5" s="56">
        <f t="shared" si="4"/>
        <v>46844</v>
      </c>
      <c r="AG5" s="56">
        <f t="shared" si="4"/>
        <v>46874</v>
      </c>
      <c r="AH5" s="56">
        <f t="shared" si="4"/>
        <v>46905</v>
      </c>
      <c r="AI5" s="56">
        <f t="shared" si="4"/>
        <v>46935</v>
      </c>
      <c r="AJ5" s="56">
        <f t="shared" si="4"/>
        <v>46966</v>
      </c>
      <c r="AK5" s="56">
        <f t="shared" ref="AK5:BG5" si="5">EDATE(AJ5,1)</f>
        <v>46997</v>
      </c>
      <c r="AL5" s="56">
        <f t="shared" si="5"/>
        <v>47027</v>
      </c>
      <c r="AM5" s="56">
        <f t="shared" si="5"/>
        <v>47058</v>
      </c>
      <c r="AN5" s="56">
        <f t="shared" si="5"/>
        <v>47088</v>
      </c>
      <c r="AO5" s="56">
        <f t="shared" si="5"/>
        <v>47119</v>
      </c>
      <c r="AP5" s="56">
        <f t="shared" si="5"/>
        <v>47150</v>
      </c>
      <c r="AQ5" s="56">
        <f t="shared" si="5"/>
        <v>47178</v>
      </c>
      <c r="AR5" s="56">
        <f t="shared" si="5"/>
        <v>47209</v>
      </c>
      <c r="AS5" s="56">
        <f t="shared" si="5"/>
        <v>47239</v>
      </c>
      <c r="AT5" s="56">
        <f t="shared" si="5"/>
        <v>47270</v>
      </c>
      <c r="AU5" s="56">
        <f t="shared" si="5"/>
        <v>47300</v>
      </c>
      <c r="AV5" s="56">
        <f t="shared" si="5"/>
        <v>47331</v>
      </c>
      <c r="AW5" s="56">
        <f t="shared" si="5"/>
        <v>47362</v>
      </c>
      <c r="AX5" s="56">
        <f t="shared" si="5"/>
        <v>47392</v>
      </c>
      <c r="AY5" s="56">
        <f t="shared" si="5"/>
        <v>47423</v>
      </c>
      <c r="AZ5" s="56">
        <f t="shared" si="5"/>
        <v>47453</v>
      </c>
      <c r="BA5" s="56">
        <f t="shared" si="5"/>
        <v>47484</v>
      </c>
      <c r="BB5" s="56">
        <f t="shared" si="5"/>
        <v>47515</v>
      </c>
      <c r="BC5" s="56">
        <f t="shared" si="5"/>
        <v>47543</v>
      </c>
      <c r="BD5" s="56">
        <f t="shared" si="5"/>
        <v>47574</v>
      </c>
      <c r="BE5" s="56">
        <f t="shared" si="5"/>
        <v>47604</v>
      </c>
      <c r="BF5" s="56">
        <f t="shared" si="5"/>
        <v>47635</v>
      </c>
      <c r="BG5" s="56">
        <f t="shared" si="5"/>
        <v>47665</v>
      </c>
    </row>
    <row r="6" spans="4:59" s="40" customFormat="1" x14ac:dyDescent="0.3">
      <c r="H6" s="61" t="s">
        <v>53</v>
      </c>
      <c r="I6" s="61" t="s">
        <v>15</v>
      </c>
      <c r="J6" s="62">
        <f t="shared" ref="J6:J9" si="6">SUM(K6:BG6)</f>
        <v>74495078.956980914</v>
      </c>
      <c r="K6" s="61">
        <f>'Simulação Imp-fluxopgto'!F4</f>
        <v>7716927.1760942712</v>
      </c>
      <c r="L6" s="61"/>
      <c r="M6" s="61" cm="1">
        <f t="array" ref="M6:AF6">TRANSPOSE('Simulação Imp-fluxopgto'!H6:H25)</f>
        <v>769015.09</v>
      </c>
      <c r="N6" s="61">
        <v>852023.41999999993</v>
      </c>
      <c r="O6" s="61">
        <v>772015.09</v>
      </c>
      <c r="P6" s="61">
        <v>540113.11</v>
      </c>
      <c r="Q6" s="61">
        <v>460129.27999999997</v>
      </c>
      <c r="R6" s="61">
        <v>537811.52</v>
      </c>
      <c r="S6" s="61">
        <v>443632.36</v>
      </c>
      <c r="T6" s="61">
        <v>522031.42</v>
      </c>
      <c r="U6" s="61">
        <v>204484.7</v>
      </c>
      <c r="V6" s="61">
        <v>204493.03</v>
      </c>
      <c r="W6" s="61">
        <v>204484.7</v>
      </c>
      <c r="X6" s="61">
        <v>204493.03</v>
      </c>
      <c r="Y6" s="61">
        <v>201801.96</v>
      </c>
      <c r="Z6" s="61">
        <v>201810.33000000002</v>
      </c>
      <c r="AA6" s="61">
        <v>85143.59</v>
      </c>
      <c r="AB6" s="61">
        <v>85143.59</v>
      </c>
      <c r="AC6" s="61">
        <v>82669.48</v>
      </c>
      <c r="AD6" s="61">
        <v>80301.69</v>
      </c>
      <c r="AE6" s="61">
        <v>80301.69</v>
      </c>
      <c r="AF6" s="61">
        <v>80301.69</v>
      </c>
      <c r="AG6" s="61"/>
      <c r="AH6" s="61"/>
      <c r="AI6" s="61">
        <f>'Simulação Imp-fluxopgto'!F28+'Simulação Imp-fluxopgto'!J28</f>
        <v>10575951.010886643</v>
      </c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>
        <f>'Simulação Imp-fluxopgto'!F40+'Simulação Imp-fluxopgto'!J40</f>
        <v>24795000</v>
      </c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>
        <f>'Simulação Imp-fluxopgto'!F52+'Simulação Imp-fluxopgto'!J52</f>
        <v>24795000</v>
      </c>
    </row>
    <row r="7" spans="4:59" s="40" customFormat="1" x14ac:dyDescent="0.3">
      <c r="D7" s="40" t="s">
        <v>61</v>
      </c>
      <c r="F7" s="60">
        <f>'Simulação Imp-fluxopgto'!C18/SUM('Simulação Imp-fluxopgto'!C18:C19)</f>
        <v>0.64698092760724635</v>
      </c>
      <c r="G7" s="52"/>
      <c r="H7" s="63" t="s">
        <v>53</v>
      </c>
      <c r="I7" s="63" t="s">
        <v>54</v>
      </c>
      <c r="J7" s="43">
        <f t="shared" si="6"/>
        <v>48196895.285762571</v>
      </c>
      <c r="K7" s="63">
        <f>K$6*$F7</f>
        <v>4992704.7026670398</v>
      </c>
      <c r="L7" s="63">
        <f t="shared" ref="L7:AA8" si="7">L$6*$F7</f>
        <v>0</v>
      </c>
      <c r="M7" s="63">
        <f t="shared" si="7"/>
        <v>497538.09627217002</v>
      </c>
      <c r="N7" s="63">
        <f t="shared" si="7"/>
        <v>551242.9026146984</v>
      </c>
      <c r="O7" s="63">
        <f t="shared" si="7"/>
        <v>499479.03905499174</v>
      </c>
      <c r="P7" s="63">
        <f t="shared" si="7"/>
        <v>349442.88092063466</v>
      </c>
      <c r="Q7" s="63">
        <f t="shared" si="7"/>
        <v>297694.86839365435</v>
      </c>
      <c r="R7" s="63">
        <f t="shared" si="7"/>
        <v>347953.79608746315</v>
      </c>
      <c r="S7" s="63">
        <f t="shared" si="7"/>
        <v>287021.67578939185</v>
      </c>
      <c r="T7" s="63">
        <f t="shared" si="7"/>
        <v>337744.37235172803</v>
      </c>
      <c r="U7" s="63">
        <f t="shared" si="7"/>
        <v>132297.70088748948</v>
      </c>
      <c r="V7" s="63">
        <f t="shared" si="7"/>
        <v>132303.09023861645</v>
      </c>
      <c r="W7" s="63">
        <f t="shared" si="7"/>
        <v>132297.70088748948</v>
      </c>
      <c r="X7" s="63">
        <f t="shared" si="7"/>
        <v>132303.09023861645</v>
      </c>
      <c r="Y7" s="63">
        <f t="shared" si="7"/>
        <v>130562.01927376042</v>
      </c>
      <c r="Z7" s="63">
        <f t="shared" si="7"/>
        <v>130567.43450412451</v>
      </c>
      <c r="AA7" s="63">
        <f t="shared" si="7"/>
        <v>55086.278838011065</v>
      </c>
      <c r="AB7" s="63">
        <f t="shared" ref="AB7:AQ8" si="8">AB$6*$F7</f>
        <v>55086.278838011065</v>
      </c>
      <c r="AC7" s="63">
        <f t="shared" si="8"/>
        <v>53485.576855208696</v>
      </c>
      <c r="AD7" s="63">
        <f t="shared" si="8"/>
        <v>51953.661884629539</v>
      </c>
      <c r="AE7" s="63">
        <f t="shared" si="8"/>
        <v>51953.661884629539</v>
      </c>
      <c r="AF7" s="63">
        <f t="shared" si="8"/>
        <v>51953.661884629539</v>
      </c>
      <c r="AG7" s="63">
        <f t="shared" si="8"/>
        <v>0</v>
      </c>
      <c r="AH7" s="63">
        <f t="shared" si="8"/>
        <v>0</v>
      </c>
      <c r="AI7" s="63">
        <f t="shared" si="8"/>
        <v>6842438.5953522353</v>
      </c>
      <c r="AJ7" s="63">
        <f t="shared" si="8"/>
        <v>0</v>
      </c>
      <c r="AK7" s="63">
        <f t="shared" si="8"/>
        <v>0</v>
      </c>
      <c r="AL7" s="63">
        <f t="shared" si="8"/>
        <v>0</v>
      </c>
      <c r="AM7" s="63">
        <f t="shared" si="8"/>
        <v>0</v>
      </c>
      <c r="AN7" s="63">
        <f t="shared" si="8"/>
        <v>0</v>
      </c>
      <c r="AO7" s="63">
        <f t="shared" si="8"/>
        <v>0</v>
      </c>
      <c r="AP7" s="63">
        <f t="shared" si="8"/>
        <v>0</v>
      </c>
      <c r="AQ7" s="63">
        <f t="shared" si="8"/>
        <v>0</v>
      </c>
      <c r="AR7" s="63">
        <f t="shared" ref="AR7:BG8" si="9">AR$6*$F7</f>
        <v>0</v>
      </c>
      <c r="AS7" s="63">
        <f t="shared" si="9"/>
        <v>0</v>
      </c>
      <c r="AT7" s="63">
        <f t="shared" si="9"/>
        <v>0</v>
      </c>
      <c r="AU7" s="63">
        <f t="shared" si="9"/>
        <v>16041892.100021673</v>
      </c>
      <c r="AV7" s="63">
        <f t="shared" si="9"/>
        <v>0</v>
      </c>
      <c r="AW7" s="63">
        <f t="shared" si="9"/>
        <v>0</v>
      </c>
      <c r="AX7" s="63">
        <f t="shared" si="9"/>
        <v>0</v>
      </c>
      <c r="AY7" s="63">
        <f t="shared" si="9"/>
        <v>0</v>
      </c>
      <c r="AZ7" s="63">
        <f t="shared" si="9"/>
        <v>0</v>
      </c>
      <c r="BA7" s="63">
        <f t="shared" si="9"/>
        <v>0</v>
      </c>
      <c r="BB7" s="63">
        <f t="shared" si="9"/>
        <v>0</v>
      </c>
      <c r="BC7" s="63">
        <f t="shared" si="9"/>
        <v>0</v>
      </c>
      <c r="BD7" s="63">
        <f t="shared" si="9"/>
        <v>0</v>
      </c>
      <c r="BE7" s="63">
        <f t="shared" si="9"/>
        <v>0</v>
      </c>
      <c r="BF7" s="63">
        <f t="shared" si="9"/>
        <v>0</v>
      </c>
      <c r="BG7" s="63">
        <f t="shared" si="9"/>
        <v>16041892.100021673</v>
      </c>
    </row>
    <row r="8" spans="4:59" s="40" customFormat="1" x14ac:dyDescent="0.3">
      <c r="D8" s="40" t="s">
        <v>61</v>
      </c>
      <c r="F8" s="60">
        <f>1-F7</f>
        <v>0.35301907239275365</v>
      </c>
      <c r="G8" s="52"/>
      <c r="H8" s="58" t="s">
        <v>53</v>
      </c>
      <c r="I8" s="58" t="s">
        <v>55</v>
      </c>
      <c r="J8" s="59">
        <f t="shared" si="6"/>
        <v>26298183.671218343</v>
      </c>
      <c r="K8" s="58">
        <f t="shared" ref="K8" si="10">K$6*$F8</f>
        <v>2724222.4734272314</v>
      </c>
      <c r="L8" s="58">
        <f t="shared" si="7"/>
        <v>0</v>
      </c>
      <c r="M8" s="58">
        <f t="shared" si="7"/>
        <v>271476.99372782995</v>
      </c>
      <c r="N8" s="58">
        <f t="shared" si="7"/>
        <v>300780.51738530153</v>
      </c>
      <c r="O8" s="58">
        <f t="shared" si="7"/>
        <v>272536.05094500823</v>
      </c>
      <c r="P8" s="58">
        <f t="shared" si="7"/>
        <v>190670.22907936532</v>
      </c>
      <c r="Q8" s="58">
        <f t="shared" si="7"/>
        <v>162434.41160634562</v>
      </c>
      <c r="R8" s="58">
        <f t="shared" si="7"/>
        <v>189857.72391253689</v>
      </c>
      <c r="S8" s="58">
        <f t="shared" si="7"/>
        <v>156610.68421060813</v>
      </c>
      <c r="T8" s="58">
        <f t="shared" si="7"/>
        <v>184287.04764827198</v>
      </c>
      <c r="U8" s="58">
        <f t="shared" si="7"/>
        <v>72186.999112510515</v>
      </c>
      <c r="V8" s="58">
        <f t="shared" si="7"/>
        <v>72189.939761383546</v>
      </c>
      <c r="W8" s="58">
        <f t="shared" si="7"/>
        <v>72186.999112510515</v>
      </c>
      <c r="X8" s="58">
        <f t="shared" si="7"/>
        <v>72189.939761383546</v>
      </c>
      <c r="Y8" s="58">
        <f t="shared" si="7"/>
        <v>71239.940726239569</v>
      </c>
      <c r="Z8" s="58">
        <f t="shared" si="7"/>
        <v>71242.895495875506</v>
      </c>
      <c r="AA8" s="58">
        <f t="shared" si="7"/>
        <v>30057.311161988935</v>
      </c>
      <c r="AB8" s="58">
        <f t="shared" si="8"/>
        <v>30057.311161988935</v>
      </c>
      <c r="AC8" s="58">
        <f t="shared" si="8"/>
        <v>29183.9031447913</v>
      </c>
      <c r="AD8" s="58">
        <f t="shared" si="8"/>
        <v>28348.028115370464</v>
      </c>
      <c r="AE8" s="58">
        <f t="shared" si="8"/>
        <v>28348.028115370464</v>
      </c>
      <c r="AF8" s="58">
        <f t="shared" si="8"/>
        <v>28348.028115370464</v>
      </c>
      <c r="AG8" s="58">
        <f t="shared" si="8"/>
        <v>0</v>
      </c>
      <c r="AH8" s="58">
        <f t="shared" si="8"/>
        <v>0</v>
      </c>
      <c r="AI8" s="58">
        <f t="shared" si="8"/>
        <v>3733512.4155344078</v>
      </c>
      <c r="AJ8" s="58">
        <f t="shared" si="8"/>
        <v>0</v>
      </c>
      <c r="AK8" s="58">
        <f t="shared" si="8"/>
        <v>0</v>
      </c>
      <c r="AL8" s="58">
        <f t="shared" si="8"/>
        <v>0</v>
      </c>
      <c r="AM8" s="58">
        <f t="shared" si="8"/>
        <v>0</v>
      </c>
      <c r="AN8" s="58">
        <f t="shared" si="8"/>
        <v>0</v>
      </c>
      <c r="AO8" s="58">
        <f t="shared" si="8"/>
        <v>0</v>
      </c>
      <c r="AP8" s="58">
        <f t="shared" si="8"/>
        <v>0</v>
      </c>
      <c r="AQ8" s="58">
        <f t="shared" si="8"/>
        <v>0</v>
      </c>
      <c r="AR8" s="58">
        <f t="shared" si="9"/>
        <v>0</v>
      </c>
      <c r="AS8" s="58">
        <f t="shared" si="9"/>
        <v>0</v>
      </c>
      <c r="AT8" s="58">
        <f t="shared" si="9"/>
        <v>0</v>
      </c>
      <c r="AU8" s="58">
        <f t="shared" si="9"/>
        <v>8753107.8999783266</v>
      </c>
      <c r="AV8" s="58">
        <f t="shared" si="9"/>
        <v>0</v>
      </c>
      <c r="AW8" s="58">
        <f t="shared" si="9"/>
        <v>0</v>
      </c>
      <c r="AX8" s="58">
        <f t="shared" si="9"/>
        <v>0</v>
      </c>
      <c r="AY8" s="58">
        <f t="shared" si="9"/>
        <v>0</v>
      </c>
      <c r="AZ8" s="58">
        <f t="shared" si="9"/>
        <v>0</v>
      </c>
      <c r="BA8" s="58">
        <f t="shared" si="9"/>
        <v>0</v>
      </c>
      <c r="BB8" s="58">
        <f t="shared" si="9"/>
        <v>0</v>
      </c>
      <c r="BC8" s="58">
        <f t="shared" si="9"/>
        <v>0</v>
      </c>
      <c r="BD8" s="58">
        <f t="shared" si="9"/>
        <v>0</v>
      </c>
      <c r="BE8" s="58">
        <f t="shared" si="9"/>
        <v>0</v>
      </c>
      <c r="BF8" s="58">
        <f t="shared" si="9"/>
        <v>0</v>
      </c>
      <c r="BG8" s="58">
        <f t="shared" si="9"/>
        <v>8753107.8999783266</v>
      </c>
    </row>
    <row r="9" spans="4:59" s="40" customFormat="1" x14ac:dyDescent="0.3">
      <c r="H9" s="40" t="s">
        <v>56</v>
      </c>
      <c r="I9" s="40" t="s">
        <v>54</v>
      </c>
      <c r="J9" s="45">
        <f t="shared" si="6"/>
        <v>31762280.73</v>
      </c>
      <c r="K9" s="40">
        <f>'Simulação Imp-fluxopgto'!G4+'Simulação Imp-fluxopgto'!J4</f>
        <v>31762280.73</v>
      </c>
    </row>
    <row r="10" spans="4:59" s="40" customFormat="1" x14ac:dyDescent="0.3">
      <c r="H10" s="40" t="s">
        <v>5</v>
      </c>
      <c r="I10" s="40" t="s">
        <v>55</v>
      </c>
      <c r="J10" s="45">
        <f>SUM(K10:BG10)</f>
        <v>59042640.313019082</v>
      </c>
      <c r="K10" s="40">
        <f>'Simulação Imp-fluxopgto'!I4</f>
        <v>26640792.093905725</v>
      </c>
      <c r="N10" s="40">
        <f>'Simulação Imp-fluxopgto'!I7</f>
        <v>4577711.49</v>
      </c>
      <c r="Q10" s="40">
        <f>'Simulação Imp-fluxopgto'!I10</f>
        <v>4426492.5199999996</v>
      </c>
      <c r="T10" s="40">
        <f>'Simulação Imp-fluxopgto'!I13</f>
        <v>4695274.7</v>
      </c>
      <c r="W10" s="40">
        <f>'Simulação Imp-fluxopgto'!I16</f>
        <v>5585287.5699999994</v>
      </c>
      <c r="AI10" s="40">
        <f>'Simulação Imp-fluxopgto'!I28</f>
        <v>13117081.939113356</v>
      </c>
    </row>
    <row r="11" spans="4:59" s="40" customFormat="1" x14ac:dyDescent="0.3">
      <c r="I11" s="40" t="s">
        <v>62</v>
      </c>
      <c r="J11" s="66">
        <f>'Simulação Imp-fluxopgto'!C29</f>
        <v>44640000</v>
      </c>
      <c r="K11" s="40">
        <f>K10</f>
        <v>26640792.093905725</v>
      </c>
    </row>
    <row r="12" spans="4:59" s="40" customFormat="1" x14ac:dyDescent="0.3">
      <c r="I12" s="40" t="s">
        <v>63</v>
      </c>
      <c r="J12" s="66">
        <f>'Simulação Imp-fluxopgto'!C28</f>
        <v>11160000</v>
      </c>
    </row>
    <row r="13" spans="4:59" s="40" customFormat="1" x14ac:dyDescent="0.3">
      <c r="I13" s="40" t="s">
        <v>64</v>
      </c>
      <c r="J13" s="66">
        <f>'Simulação Imp-fluxopgto'!C30</f>
        <v>3242640.313019082</v>
      </c>
    </row>
    <row r="14" spans="4:59" ht="15" thickBot="1" x14ac:dyDescent="0.35">
      <c r="I14" s="53" t="s">
        <v>13</v>
      </c>
      <c r="J14" s="54">
        <f>SUM(J7:J10)</f>
        <v>165300000</v>
      </c>
      <c r="K14" s="54">
        <f>SUM(K7:K10)</f>
        <v>66119999.999999993</v>
      </c>
      <c r="L14" s="54">
        <f t="shared" ref="L14:BG14" si="11">SUM(L7:L10)</f>
        <v>0</v>
      </c>
      <c r="M14" s="54">
        <f t="shared" si="11"/>
        <v>769015.09</v>
      </c>
      <c r="N14" s="54">
        <f t="shared" si="11"/>
        <v>5429734.9100000001</v>
      </c>
      <c r="O14" s="54">
        <f t="shared" si="11"/>
        <v>772015.09</v>
      </c>
      <c r="P14" s="54">
        <f t="shared" si="11"/>
        <v>540113.11</v>
      </c>
      <c r="Q14" s="54">
        <f t="shared" si="11"/>
        <v>4886621.8</v>
      </c>
      <c r="R14" s="54">
        <f t="shared" si="11"/>
        <v>537811.52</v>
      </c>
      <c r="S14" s="54">
        <f t="shared" si="11"/>
        <v>443632.36</v>
      </c>
      <c r="T14" s="54">
        <f t="shared" si="11"/>
        <v>5217306.12</v>
      </c>
      <c r="U14" s="54">
        <f t="shared" si="11"/>
        <v>204484.7</v>
      </c>
      <c r="V14" s="54">
        <f t="shared" si="11"/>
        <v>204493.03</v>
      </c>
      <c r="W14" s="54">
        <f t="shared" si="11"/>
        <v>5789772.2699999996</v>
      </c>
      <c r="X14" s="54">
        <f t="shared" si="11"/>
        <v>204493.03</v>
      </c>
      <c r="Y14" s="54">
        <f t="shared" si="11"/>
        <v>201801.96</v>
      </c>
      <c r="Z14" s="54">
        <f t="shared" si="11"/>
        <v>201810.33000000002</v>
      </c>
      <c r="AA14" s="54">
        <f t="shared" si="11"/>
        <v>85143.59</v>
      </c>
      <c r="AB14" s="54">
        <f t="shared" si="11"/>
        <v>85143.59</v>
      </c>
      <c r="AC14" s="54">
        <f t="shared" si="11"/>
        <v>82669.48</v>
      </c>
      <c r="AD14" s="54">
        <f t="shared" si="11"/>
        <v>80301.69</v>
      </c>
      <c r="AE14" s="54">
        <f t="shared" si="11"/>
        <v>80301.69</v>
      </c>
      <c r="AF14" s="54">
        <f t="shared" si="11"/>
        <v>80301.69</v>
      </c>
      <c r="AG14" s="54">
        <f t="shared" si="11"/>
        <v>0</v>
      </c>
      <c r="AH14" s="54">
        <f t="shared" si="11"/>
        <v>0</v>
      </c>
      <c r="AI14" s="54">
        <f t="shared" si="11"/>
        <v>23693032.949999999</v>
      </c>
      <c r="AJ14" s="54">
        <f t="shared" si="11"/>
        <v>0</v>
      </c>
      <c r="AK14" s="54">
        <f t="shared" si="11"/>
        <v>0</v>
      </c>
      <c r="AL14" s="54">
        <f t="shared" si="11"/>
        <v>0</v>
      </c>
      <c r="AM14" s="54">
        <f t="shared" si="11"/>
        <v>0</v>
      </c>
      <c r="AN14" s="54">
        <f t="shared" si="11"/>
        <v>0</v>
      </c>
      <c r="AO14" s="54">
        <f t="shared" si="11"/>
        <v>0</v>
      </c>
      <c r="AP14" s="54">
        <f t="shared" si="11"/>
        <v>0</v>
      </c>
      <c r="AQ14" s="54">
        <f t="shared" si="11"/>
        <v>0</v>
      </c>
      <c r="AR14" s="54">
        <f t="shared" si="11"/>
        <v>0</v>
      </c>
      <c r="AS14" s="54">
        <f t="shared" si="11"/>
        <v>0</v>
      </c>
      <c r="AT14" s="54">
        <f t="shared" si="11"/>
        <v>0</v>
      </c>
      <c r="AU14" s="54">
        <f t="shared" si="11"/>
        <v>24795000</v>
      </c>
      <c r="AV14" s="54">
        <f t="shared" si="11"/>
        <v>0</v>
      </c>
      <c r="AW14" s="54">
        <f t="shared" si="11"/>
        <v>0</v>
      </c>
      <c r="AX14" s="54">
        <f t="shared" si="11"/>
        <v>0</v>
      </c>
      <c r="AY14" s="54">
        <f t="shared" si="11"/>
        <v>0</v>
      </c>
      <c r="AZ14" s="54">
        <f t="shared" si="11"/>
        <v>0</v>
      </c>
      <c r="BA14" s="54">
        <f t="shared" si="11"/>
        <v>0</v>
      </c>
      <c r="BB14" s="54">
        <f t="shared" si="11"/>
        <v>0</v>
      </c>
      <c r="BC14" s="54">
        <f t="shared" si="11"/>
        <v>0</v>
      </c>
      <c r="BD14" s="54">
        <f t="shared" si="11"/>
        <v>0</v>
      </c>
      <c r="BE14" s="54">
        <f t="shared" si="11"/>
        <v>0</v>
      </c>
      <c r="BF14" s="54">
        <f t="shared" si="11"/>
        <v>0</v>
      </c>
      <c r="BG14" s="54">
        <f t="shared" si="11"/>
        <v>24795000</v>
      </c>
    </row>
    <row r="15" spans="4:59" ht="15" thickTop="1" x14ac:dyDescent="0.3"/>
    <row r="17" spans="9:10" x14ac:dyDescent="0.3">
      <c r="I17" t="s">
        <v>60</v>
      </c>
      <c r="J17" s="40">
        <v>58000</v>
      </c>
    </row>
    <row r="18" spans="9:10" x14ac:dyDescent="0.3">
      <c r="I18" t="s">
        <v>59</v>
      </c>
      <c r="J18" s="40">
        <v>2850</v>
      </c>
    </row>
    <row r="19" spans="9:10" x14ac:dyDescent="0.3">
      <c r="I19" t="s">
        <v>57</v>
      </c>
      <c r="J19" s="40">
        <f>J18*J17</f>
        <v>165300000</v>
      </c>
    </row>
    <row r="20" spans="9:10" x14ac:dyDescent="0.3">
      <c r="I20" t="s">
        <v>58</v>
      </c>
      <c r="J20" s="40">
        <f>J19-J14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2478-81A7-41DA-A913-0ACAF8FFFB93}">
  <dimension ref="A1:AX7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L12" sqref="L12"/>
    </sheetView>
  </sheetViews>
  <sheetFormatPr defaultColWidth="8.88671875" defaultRowHeight="14.4" x14ac:dyDescent="0.3"/>
  <cols>
    <col min="1" max="1" width="40.6640625" style="21" customWidth="1"/>
    <col min="2" max="2" width="11.6640625" style="21" hidden="1" customWidth="1"/>
    <col min="3" max="5" width="11.6640625" style="21" bestFit="1" customWidth="1"/>
    <col min="6" max="49" width="10.109375" style="21" bestFit="1" customWidth="1"/>
    <col min="50" max="50" width="12.6640625" style="21" bestFit="1" customWidth="1"/>
    <col min="51" max="16384" width="8.88671875" style="21"/>
  </cols>
  <sheetData>
    <row r="1" spans="1:50" x14ac:dyDescent="0.3">
      <c r="A1" s="18" t="s">
        <v>18</v>
      </c>
      <c r="B1" s="19">
        <v>46235</v>
      </c>
      <c r="C1" s="19">
        <v>46266</v>
      </c>
      <c r="D1" s="19">
        <v>46296</v>
      </c>
      <c r="E1" s="19">
        <v>46327</v>
      </c>
      <c r="F1" s="19">
        <v>46357</v>
      </c>
      <c r="G1" s="19">
        <v>46388</v>
      </c>
      <c r="H1" s="19">
        <v>46419</v>
      </c>
      <c r="I1" s="19">
        <v>46447</v>
      </c>
      <c r="J1" s="19">
        <v>46478</v>
      </c>
      <c r="K1" s="19">
        <v>46508</v>
      </c>
      <c r="L1" s="19">
        <v>46539</v>
      </c>
      <c r="M1" s="19">
        <v>46569</v>
      </c>
      <c r="N1" s="19">
        <v>46600</v>
      </c>
      <c r="O1" s="19">
        <v>46631</v>
      </c>
      <c r="P1" s="19">
        <v>46661</v>
      </c>
      <c r="Q1" s="19">
        <v>46692</v>
      </c>
      <c r="R1" s="19">
        <v>46722</v>
      </c>
      <c r="S1" s="19">
        <v>46753</v>
      </c>
      <c r="T1" s="19">
        <v>46784</v>
      </c>
      <c r="U1" s="19">
        <v>46813</v>
      </c>
      <c r="V1" s="19">
        <v>46844</v>
      </c>
      <c r="W1" s="19">
        <v>46874</v>
      </c>
      <c r="X1" s="19">
        <v>46905</v>
      </c>
      <c r="Y1" s="19">
        <v>46935</v>
      </c>
      <c r="Z1" s="19">
        <v>46966</v>
      </c>
      <c r="AA1" s="19">
        <v>46997</v>
      </c>
      <c r="AB1" s="19">
        <v>47027</v>
      </c>
      <c r="AC1" s="19">
        <v>47058</v>
      </c>
      <c r="AD1" s="19">
        <v>47088</v>
      </c>
      <c r="AE1" s="19">
        <v>47119</v>
      </c>
      <c r="AF1" s="19">
        <v>47150</v>
      </c>
      <c r="AG1" s="19">
        <v>47178</v>
      </c>
      <c r="AH1" s="19">
        <v>47209</v>
      </c>
      <c r="AI1" s="19">
        <v>47239</v>
      </c>
      <c r="AJ1" s="19">
        <v>47270</v>
      </c>
      <c r="AK1" s="19">
        <v>47300</v>
      </c>
      <c r="AL1" s="19">
        <v>47331</v>
      </c>
      <c r="AM1" s="19">
        <v>47362</v>
      </c>
      <c r="AN1" s="19">
        <v>47392</v>
      </c>
      <c r="AO1" s="19">
        <v>47423</v>
      </c>
      <c r="AP1" s="19">
        <v>47453</v>
      </c>
      <c r="AQ1" s="19">
        <v>47484</v>
      </c>
      <c r="AR1" s="19">
        <v>47515</v>
      </c>
      <c r="AS1" s="19">
        <v>47543</v>
      </c>
      <c r="AT1" s="19">
        <v>47574</v>
      </c>
      <c r="AU1" s="19">
        <v>47604</v>
      </c>
      <c r="AV1" s="19">
        <v>47635</v>
      </c>
      <c r="AW1" s="19">
        <v>47665</v>
      </c>
      <c r="AX1" s="20" t="s">
        <v>19</v>
      </c>
    </row>
    <row r="2" spans="1:50" x14ac:dyDescent="0.3">
      <c r="A2" s="18" t="s">
        <v>20</v>
      </c>
      <c r="B2" s="22"/>
      <c r="C2" s="22">
        <v>0</v>
      </c>
      <c r="D2" s="22">
        <v>116666.66</v>
      </c>
      <c r="E2" s="22">
        <v>0</v>
      </c>
      <c r="F2" s="22">
        <v>116666.66</v>
      </c>
      <c r="G2" s="22">
        <v>0</v>
      </c>
      <c r="H2" s="22">
        <v>116666.66</v>
      </c>
      <c r="I2" s="22">
        <v>0</v>
      </c>
      <c r="J2" s="22">
        <v>116666.66</v>
      </c>
      <c r="K2" s="22">
        <v>0</v>
      </c>
      <c r="L2" s="22">
        <v>116666.66</v>
      </c>
      <c r="M2" s="22">
        <v>0</v>
      </c>
      <c r="N2" s="22">
        <v>116666.66</v>
      </c>
      <c r="O2" s="22">
        <v>0</v>
      </c>
      <c r="P2" s="22">
        <v>116666.74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</v>
      </c>
      <c r="AA2" s="22">
        <v>0</v>
      </c>
      <c r="AB2" s="22">
        <v>0</v>
      </c>
      <c r="AC2" s="22">
        <v>0</v>
      </c>
      <c r="AD2" s="22">
        <v>0</v>
      </c>
      <c r="AE2" s="22">
        <v>0</v>
      </c>
      <c r="AF2" s="22">
        <v>0</v>
      </c>
      <c r="AG2" s="22">
        <v>0</v>
      </c>
      <c r="AH2" s="22">
        <v>0</v>
      </c>
      <c r="AI2" s="22">
        <v>0</v>
      </c>
      <c r="AJ2" s="22">
        <v>0</v>
      </c>
      <c r="AK2" s="22">
        <v>0</v>
      </c>
      <c r="AL2" s="22">
        <v>0</v>
      </c>
      <c r="AM2" s="22">
        <v>0</v>
      </c>
      <c r="AN2" s="22">
        <v>0</v>
      </c>
      <c r="AO2" s="22">
        <v>0</v>
      </c>
      <c r="AP2" s="22">
        <v>0</v>
      </c>
      <c r="AQ2" s="22">
        <v>0</v>
      </c>
      <c r="AR2" s="22">
        <v>0</v>
      </c>
      <c r="AS2" s="22">
        <v>0</v>
      </c>
      <c r="AT2" s="22">
        <v>0</v>
      </c>
      <c r="AU2" s="22">
        <v>0</v>
      </c>
      <c r="AV2" s="22">
        <v>0</v>
      </c>
      <c r="AW2" s="22">
        <v>0</v>
      </c>
      <c r="AX2" s="23">
        <f t="shared" ref="AX2:AX7" si="0">SUM(B2:AW2)</f>
        <v>816666.70000000007</v>
      </c>
    </row>
    <row r="3" spans="1:50" x14ac:dyDescent="0.3">
      <c r="A3" s="18" t="s">
        <v>21</v>
      </c>
      <c r="B3" s="22"/>
      <c r="C3" s="22">
        <v>351670.07</v>
      </c>
      <c r="D3" s="22">
        <v>351670.07</v>
      </c>
      <c r="E3" s="22">
        <v>351670.07</v>
      </c>
      <c r="F3" s="22">
        <v>39759.760000000002</v>
      </c>
      <c r="G3" s="22">
        <v>39784.26</v>
      </c>
      <c r="H3" s="22">
        <v>37458.17</v>
      </c>
      <c r="I3" s="22">
        <v>23287.34</v>
      </c>
      <c r="J3" s="22">
        <v>21678.07</v>
      </c>
      <c r="K3" s="22">
        <v>7524.68</v>
      </c>
      <c r="L3" s="22">
        <v>7524.68</v>
      </c>
      <c r="M3" s="22">
        <v>7524.68</v>
      </c>
      <c r="N3" s="22">
        <v>7524.68</v>
      </c>
      <c r="O3" s="22">
        <v>4841.8999999999996</v>
      </c>
      <c r="P3" s="22">
        <v>4841.8999999999996</v>
      </c>
      <c r="Q3" s="22">
        <v>4841.8999999999996</v>
      </c>
      <c r="R3" s="22">
        <v>4841.8999999999996</v>
      </c>
      <c r="S3" s="22">
        <v>2367.79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R3" s="22">
        <v>0</v>
      </c>
      <c r="AS3" s="22">
        <v>0</v>
      </c>
      <c r="AT3" s="22">
        <v>0</v>
      </c>
      <c r="AU3" s="22">
        <v>0</v>
      </c>
      <c r="AV3" s="22">
        <v>0</v>
      </c>
      <c r="AW3" s="22">
        <v>0</v>
      </c>
      <c r="AX3" s="23">
        <f t="shared" si="0"/>
        <v>1268811.9199999995</v>
      </c>
    </row>
    <row r="4" spans="1:50" x14ac:dyDescent="0.3">
      <c r="A4" s="18" t="s">
        <v>22</v>
      </c>
      <c r="B4" s="22"/>
      <c r="C4" s="22">
        <v>80301.69</v>
      </c>
      <c r="D4" s="22">
        <v>80301.69</v>
      </c>
      <c r="E4" s="22">
        <v>80301.69</v>
      </c>
      <c r="F4" s="22">
        <v>80301.69</v>
      </c>
      <c r="G4" s="22">
        <v>80301.69</v>
      </c>
      <c r="H4" s="22">
        <v>80301.69</v>
      </c>
      <c r="I4" s="22">
        <v>80301.69</v>
      </c>
      <c r="J4" s="22">
        <v>80301.69</v>
      </c>
      <c r="K4" s="22">
        <v>80301.69</v>
      </c>
      <c r="L4" s="22">
        <v>80301.69</v>
      </c>
      <c r="M4" s="22">
        <v>80301.69</v>
      </c>
      <c r="N4" s="22">
        <v>80301.69</v>
      </c>
      <c r="O4" s="22">
        <v>80301.69</v>
      </c>
      <c r="P4" s="22">
        <v>80301.69</v>
      </c>
      <c r="Q4" s="22">
        <v>80301.69</v>
      </c>
      <c r="R4" s="22">
        <v>80301.69</v>
      </c>
      <c r="S4" s="22">
        <v>80301.69</v>
      </c>
      <c r="T4" s="22">
        <v>80301.69</v>
      </c>
      <c r="U4" s="22">
        <v>80301.69</v>
      </c>
      <c r="V4" s="22">
        <v>80301.69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  <c r="AR4" s="22">
        <v>0</v>
      </c>
      <c r="AS4" s="22">
        <v>0</v>
      </c>
      <c r="AT4" s="22">
        <v>0</v>
      </c>
      <c r="AU4" s="22">
        <v>0</v>
      </c>
      <c r="AV4" s="22">
        <v>0</v>
      </c>
      <c r="AW4" s="22">
        <v>0</v>
      </c>
      <c r="AX4" s="23">
        <f t="shared" si="0"/>
        <v>1606033.7999999993</v>
      </c>
    </row>
    <row r="5" spans="1:50" x14ac:dyDescent="0.3">
      <c r="A5" s="18" t="s">
        <v>23</v>
      </c>
      <c r="B5" s="22"/>
      <c r="C5" s="22">
        <v>279396.23</v>
      </c>
      <c r="D5" s="22">
        <v>245737.9</v>
      </c>
      <c r="E5" s="22">
        <v>282396.23</v>
      </c>
      <c r="F5" s="22">
        <v>245737.9</v>
      </c>
      <c r="G5" s="22">
        <v>282396.23</v>
      </c>
      <c r="H5" s="22">
        <v>245737.9</v>
      </c>
      <c r="I5" s="22">
        <v>282396.23</v>
      </c>
      <c r="J5" s="22">
        <v>245737.9</v>
      </c>
      <c r="K5" s="22">
        <v>116658.33</v>
      </c>
      <c r="L5" s="22">
        <v>0</v>
      </c>
      <c r="M5" s="22">
        <v>116658.33</v>
      </c>
      <c r="N5" s="22">
        <v>0</v>
      </c>
      <c r="O5" s="22">
        <v>116658.37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R5" s="22">
        <v>0</v>
      </c>
      <c r="AS5" s="22">
        <v>0</v>
      </c>
      <c r="AT5" s="22">
        <v>0</v>
      </c>
      <c r="AU5" s="22">
        <v>0</v>
      </c>
      <c r="AV5" s="22">
        <v>0</v>
      </c>
      <c r="AW5" s="22">
        <v>0</v>
      </c>
      <c r="AX5" s="23">
        <f t="shared" si="0"/>
        <v>2459511.5500000003</v>
      </c>
    </row>
    <row r="6" spans="1:50" x14ac:dyDescent="0.3">
      <c r="A6" s="18" t="s">
        <v>24</v>
      </c>
      <c r="B6" s="22"/>
      <c r="C6" s="22">
        <v>57647.1</v>
      </c>
      <c r="D6" s="22">
        <v>57647.1</v>
      </c>
      <c r="E6" s="22">
        <v>57647.1</v>
      </c>
      <c r="F6" s="22">
        <v>57647.1</v>
      </c>
      <c r="G6" s="22">
        <v>57647.1</v>
      </c>
      <c r="H6" s="22">
        <v>57647.1</v>
      </c>
      <c r="I6" s="22">
        <v>57647.1</v>
      </c>
      <c r="J6" s="22">
        <v>57647.1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3">
        <f t="shared" si="0"/>
        <v>461176.79999999993</v>
      </c>
    </row>
    <row r="7" spans="1:50" x14ac:dyDescent="0.3">
      <c r="A7" s="24" t="s">
        <v>25</v>
      </c>
      <c r="B7" s="23">
        <f t="shared" ref="B7:AW7" si="1">SUM(B2:B6)</f>
        <v>0</v>
      </c>
      <c r="C7" s="23">
        <f t="shared" si="1"/>
        <v>769015.09</v>
      </c>
      <c r="D7" s="23">
        <f t="shared" si="1"/>
        <v>852023.41999999993</v>
      </c>
      <c r="E7" s="23">
        <f t="shared" si="1"/>
        <v>772015.09</v>
      </c>
      <c r="F7" s="23">
        <f t="shared" si="1"/>
        <v>540113.11</v>
      </c>
      <c r="G7" s="23">
        <f t="shared" si="1"/>
        <v>460129.27999999997</v>
      </c>
      <c r="H7" s="23">
        <f t="shared" si="1"/>
        <v>537811.52</v>
      </c>
      <c r="I7" s="23">
        <f t="shared" si="1"/>
        <v>443632.36</v>
      </c>
      <c r="J7" s="23">
        <f t="shared" si="1"/>
        <v>522031.42</v>
      </c>
      <c r="K7" s="23">
        <f t="shared" si="1"/>
        <v>204484.7</v>
      </c>
      <c r="L7" s="23">
        <f t="shared" si="1"/>
        <v>204493.03</v>
      </c>
      <c r="M7" s="23">
        <f t="shared" si="1"/>
        <v>204484.7</v>
      </c>
      <c r="N7" s="23">
        <f t="shared" si="1"/>
        <v>204493.03</v>
      </c>
      <c r="O7" s="23">
        <f t="shared" si="1"/>
        <v>201801.96</v>
      </c>
      <c r="P7" s="23">
        <f t="shared" si="1"/>
        <v>201810.33000000002</v>
      </c>
      <c r="Q7" s="23">
        <f t="shared" si="1"/>
        <v>85143.59</v>
      </c>
      <c r="R7" s="23">
        <f t="shared" si="1"/>
        <v>85143.59</v>
      </c>
      <c r="S7" s="23">
        <f t="shared" si="1"/>
        <v>82669.48</v>
      </c>
      <c r="T7" s="23">
        <f t="shared" si="1"/>
        <v>80301.69</v>
      </c>
      <c r="U7" s="23">
        <f t="shared" si="1"/>
        <v>80301.69</v>
      </c>
      <c r="V7" s="23">
        <f t="shared" si="1"/>
        <v>80301.69</v>
      </c>
      <c r="W7" s="23">
        <f t="shared" si="1"/>
        <v>0</v>
      </c>
      <c r="X7" s="23">
        <f t="shared" si="1"/>
        <v>0</v>
      </c>
      <c r="Y7" s="23">
        <f t="shared" si="1"/>
        <v>0</v>
      </c>
      <c r="Z7" s="23">
        <f t="shared" si="1"/>
        <v>0</v>
      </c>
      <c r="AA7" s="23">
        <f t="shared" si="1"/>
        <v>0</v>
      </c>
      <c r="AB7" s="23">
        <f t="shared" si="1"/>
        <v>0</v>
      </c>
      <c r="AC7" s="23">
        <f t="shared" si="1"/>
        <v>0</v>
      </c>
      <c r="AD7" s="23">
        <f t="shared" si="1"/>
        <v>0</v>
      </c>
      <c r="AE7" s="23">
        <f t="shared" si="1"/>
        <v>0</v>
      </c>
      <c r="AF7" s="23">
        <f t="shared" si="1"/>
        <v>0</v>
      </c>
      <c r="AG7" s="23">
        <f t="shared" si="1"/>
        <v>0</v>
      </c>
      <c r="AH7" s="23">
        <f t="shared" si="1"/>
        <v>0</v>
      </c>
      <c r="AI7" s="23">
        <f t="shared" si="1"/>
        <v>0</v>
      </c>
      <c r="AJ7" s="23">
        <f t="shared" si="1"/>
        <v>0</v>
      </c>
      <c r="AK7" s="23">
        <f t="shared" si="1"/>
        <v>0</v>
      </c>
      <c r="AL7" s="23">
        <f t="shared" si="1"/>
        <v>0</v>
      </c>
      <c r="AM7" s="23">
        <f t="shared" si="1"/>
        <v>0</v>
      </c>
      <c r="AN7" s="23">
        <f t="shared" si="1"/>
        <v>0</v>
      </c>
      <c r="AO7" s="23">
        <f t="shared" si="1"/>
        <v>0</v>
      </c>
      <c r="AP7" s="23">
        <f t="shared" si="1"/>
        <v>0</v>
      </c>
      <c r="AQ7" s="23">
        <f t="shared" si="1"/>
        <v>0</v>
      </c>
      <c r="AR7" s="23">
        <f t="shared" si="1"/>
        <v>0</v>
      </c>
      <c r="AS7" s="23">
        <f t="shared" si="1"/>
        <v>0</v>
      </c>
      <c r="AT7" s="23">
        <f t="shared" si="1"/>
        <v>0</v>
      </c>
      <c r="AU7" s="23">
        <f t="shared" si="1"/>
        <v>0</v>
      </c>
      <c r="AV7" s="23">
        <f t="shared" si="1"/>
        <v>0</v>
      </c>
      <c r="AW7" s="23">
        <f t="shared" si="1"/>
        <v>0</v>
      </c>
      <c r="AX7" s="23">
        <f t="shared" si="0"/>
        <v>6612200.7700000014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PÚBLICA</oddFooter>
  </headerFooter>
</worksheet>
</file>

<file path=docMetadata/LabelInfo.xml><?xml version="1.0" encoding="utf-8"?>
<clbl:labelList xmlns:clbl="http://schemas.microsoft.com/office/2020/mipLabelMetadata">
  <clbl:label id="{4ba98965-3a24-460d-b0e1-6f272f1d0f46}" enabled="1" method="Privileged" siteId="{85b28421-d45a-4b07-889d-24b528c7f25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Simulação Imp-fluxopgto</vt:lpstr>
      <vt:lpstr>fluxo</vt:lpstr>
      <vt:lpstr>Pgto Sellers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Barros</dc:creator>
  <cp:lastModifiedBy>Gustavo Barros</cp:lastModifiedBy>
  <dcterms:created xsi:type="dcterms:W3CDTF">2026-07-15T17:31:52Z</dcterms:created>
  <dcterms:modified xsi:type="dcterms:W3CDTF">2026-07-23T21:12:54Z</dcterms:modified>
</cp:coreProperties>
</file>