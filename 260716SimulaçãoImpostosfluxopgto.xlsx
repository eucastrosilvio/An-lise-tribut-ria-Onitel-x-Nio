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Onitel\Documents\"/>
    </mc:Choice>
  </mc:AlternateContent>
  <xr:revisionPtr revIDLastSave="0" documentId="13_ncr:1_{F41744D6-FECB-4B2D-A776-E9551B59923E}" xr6:coauthVersionLast="47" xr6:coauthVersionMax="47" xr10:uidLastSave="{00000000-0000-0000-0000-000000000000}"/>
  <bookViews>
    <workbookView xWindow="20370" yWindow="-120" windowWidth="25440" windowHeight="15270" activeTab="1" xr2:uid="{64F40452-A3D8-4C49-BFF5-9F85CDF9315C}"/>
  </bookViews>
  <sheets>
    <sheet name="Simulação Imp-fluxopgto" sheetId="1" r:id="rId1"/>
    <sheet name="Pgto Sell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C13" i="2" l="1"/>
  <c r="BC5" i="2"/>
  <c r="BC6" i="2"/>
  <c r="BC7" i="2"/>
  <c r="BC8" i="2"/>
  <c r="BC9" i="2"/>
  <c r="BC10" i="2"/>
  <c r="BC11" i="2"/>
  <c r="BC12" i="2"/>
  <c r="BC3" i="2"/>
  <c r="BC4" i="2"/>
  <c r="BC2" i="2"/>
  <c r="G13" i="2"/>
  <c r="I5" i="1" s="1"/>
  <c r="L5" i="1" s="1"/>
  <c r="H13" i="2"/>
  <c r="I13" i="2"/>
  <c r="I7" i="1" s="1"/>
  <c r="J13" i="2"/>
  <c r="I8" i="1" s="1"/>
  <c r="L8" i="1" s="1"/>
  <c r="K13" i="2"/>
  <c r="I9" i="1" s="1"/>
  <c r="L9" i="1" s="1"/>
  <c r="L13" i="2"/>
  <c r="I10" i="1" s="1"/>
  <c r="M13" i="2"/>
  <c r="I11" i="1" s="1"/>
  <c r="L11" i="1" s="1"/>
  <c r="N13" i="2"/>
  <c r="I12" i="1" s="1"/>
  <c r="L12" i="1" s="1"/>
  <c r="O13" i="2"/>
  <c r="I13" i="1" s="1"/>
  <c r="P13" i="2"/>
  <c r="I14" i="1" s="1"/>
  <c r="L14" i="1" s="1"/>
  <c r="Q13" i="2"/>
  <c r="I15" i="1" s="1"/>
  <c r="L15" i="1" s="1"/>
  <c r="R13" i="2"/>
  <c r="I16" i="1" s="1"/>
  <c r="S13" i="2"/>
  <c r="I17" i="1" s="1"/>
  <c r="T13" i="2"/>
  <c r="I18" i="1" s="1"/>
  <c r="L18" i="1" s="1"/>
  <c r="U13" i="2"/>
  <c r="I19" i="1" s="1"/>
  <c r="L19" i="1" s="1"/>
  <c r="V13" i="2"/>
  <c r="I20" i="1" s="1"/>
  <c r="L20" i="1" s="1"/>
  <c r="W13" i="2"/>
  <c r="I21" i="1" s="1"/>
  <c r="L21" i="1" s="1"/>
  <c r="X13" i="2"/>
  <c r="I22" i="1" s="1"/>
  <c r="L22" i="1" s="1"/>
  <c r="Y13" i="2"/>
  <c r="I23" i="1" s="1"/>
  <c r="L23" i="1" s="1"/>
  <c r="Z13" i="2"/>
  <c r="I24" i="1" s="1"/>
  <c r="L24" i="1" s="1"/>
  <c r="AA13" i="2"/>
  <c r="I25" i="1" s="1"/>
  <c r="L25" i="1" s="1"/>
  <c r="AB13" i="2"/>
  <c r="I26" i="1" s="1"/>
  <c r="L26" i="1" s="1"/>
  <c r="AC13" i="2"/>
  <c r="I27" i="1" s="1"/>
  <c r="L27" i="1" s="1"/>
  <c r="AD13" i="2"/>
  <c r="I28" i="1" s="1"/>
  <c r="AE13" i="2"/>
  <c r="I29" i="1" s="1"/>
  <c r="AF13" i="2"/>
  <c r="I30" i="1" s="1"/>
  <c r="L30" i="1" s="1"/>
  <c r="AG13" i="2"/>
  <c r="I31" i="1" s="1"/>
  <c r="L31" i="1" s="1"/>
  <c r="AH13" i="2"/>
  <c r="I32" i="1" s="1"/>
  <c r="L32" i="1" s="1"/>
  <c r="AI13" i="2"/>
  <c r="I33" i="1" s="1"/>
  <c r="L33" i="1" s="1"/>
  <c r="AJ13" i="2"/>
  <c r="I34" i="1" s="1"/>
  <c r="L34" i="1" s="1"/>
  <c r="AK13" i="2"/>
  <c r="I35" i="1" s="1"/>
  <c r="L35" i="1" s="1"/>
  <c r="AL13" i="2"/>
  <c r="I36" i="1" s="1"/>
  <c r="L36" i="1" s="1"/>
  <c r="AM13" i="2"/>
  <c r="I37" i="1" s="1"/>
  <c r="L37" i="1" s="1"/>
  <c r="AN13" i="2"/>
  <c r="I38" i="1" s="1"/>
  <c r="L38" i="1" s="1"/>
  <c r="AO13" i="2"/>
  <c r="I39" i="1" s="1"/>
  <c r="L39" i="1" s="1"/>
  <c r="AP13" i="2"/>
  <c r="I40" i="1" s="1"/>
  <c r="AQ13" i="2"/>
  <c r="I41" i="1" s="1"/>
  <c r="AR13" i="2"/>
  <c r="I42" i="1" s="1"/>
  <c r="L42" i="1" s="1"/>
  <c r="AS13" i="2"/>
  <c r="I43" i="1" s="1"/>
  <c r="L43" i="1" s="1"/>
  <c r="AT13" i="2"/>
  <c r="I44" i="1" s="1"/>
  <c r="L44" i="1" s="1"/>
  <c r="AU13" i="2"/>
  <c r="I45" i="1" s="1"/>
  <c r="L45" i="1" s="1"/>
  <c r="AV13" i="2"/>
  <c r="I46" i="1" s="1"/>
  <c r="L46" i="1" s="1"/>
  <c r="AW13" i="2"/>
  <c r="I47" i="1" s="1"/>
  <c r="L47" i="1" s="1"/>
  <c r="AX13" i="2"/>
  <c r="I48" i="1" s="1"/>
  <c r="L48" i="1" s="1"/>
  <c r="AY13" i="2"/>
  <c r="I49" i="1" s="1"/>
  <c r="L49" i="1" s="1"/>
  <c r="AZ13" i="2"/>
  <c r="I50" i="1" s="1"/>
  <c r="L50" i="1" s="1"/>
  <c r="BA13" i="2"/>
  <c r="I51" i="1" s="1"/>
  <c r="L51" i="1" s="1"/>
  <c r="BB13" i="2"/>
  <c r="I52" i="1" s="1"/>
  <c r="K52" i="1"/>
  <c r="K40" i="1"/>
  <c r="K28" i="1"/>
  <c r="C9" i="1"/>
  <c r="F4" i="1"/>
  <c r="H54" i="1"/>
  <c r="C5" i="1"/>
  <c r="G40" i="1" l="1"/>
  <c r="J16" i="1"/>
  <c r="G52" i="1"/>
  <c r="J10" i="1"/>
  <c r="J13" i="1"/>
  <c r="I6" i="1"/>
  <c r="J7" i="1" s="1"/>
  <c r="L17" i="1"/>
  <c r="L29" i="1"/>
  <c r="L41" i="1"/>
  <c r="C12" i="1"/>
  <c r="C21" i="1"/>
  <c r="C22" i="1" s="1"/>
  <c r="C6" i="1"/>
  <c r="L6" i="1" l="1"/>
  <c r="C7" i="1"/>
  <c r="I54" i="1"/>
  <c r="C24" i="1"/>
  <c r="G4" i="1"/>
  <c r="L4" i="1" s="1"/>
  <c r="C11" i="1"/>
  <c r="C14" i="1" s="1"/>
  <c r="C8" i="1"/>
  <c r="L16" i="1" l="1"/>
  <c r="L13" i="1"/>
  <c r="L10" i="1"/>
  <c r="F28" i="1"/>
  <c r="C16" i="1"/>
  <c r="C17" i="1" s="1"/>
  <c r="L7" i="1" l="1"/>
  <c r="F40" i="1"/>
  <c r="F52" i="1" l="1"/>
  <c r="F54" i="1" s="1"/>
  <c r="L40" i="1"/>
  <c r="J28" i="1"/>
  <c r="G28" i="1" s="1"/>
  <c r="L52" i="1" l="1"/>
  <c r="L28" i="1"/>
  <c r="J54" i="1"/>
  <c r="K54" i="1"/>
  <c r="L54" i="1" l="1"/>
  <c r="G54" i="1"/>
</calcChain>
</file>

<file path=xl/sharedStrings.xml><?xml version="1.0" encoding="utf-8"?>
<sst xmlns="http://schemas.openxmlformats.org/spreadsheetml/2006/main" count="77" uniqueCount="72">
  <si>
    <t>Assinante Adimplentes</t>
  </si>
  <si>
    <t>Divida Aquisições</t>
  </si>
  <si>
    <t>Valor/Assinante</t>
  </si>
  <si>
    <t>Imobilizado</t>
  </si>
  <si>
    <t>Intangivel</t>
  </si>
  <si>
    <t>FTTP</t>
  </si>
  <si>
    <t>Imposto</t>
  </si>
  <si>
    <t>Valor</t>
  </si>
  <si>
    <t>Entrada -40%</t>
  </si>
  <si>
    <t>Entrada</t>
  </si>
  <si>
    <t>Pgto sellers</t>
  </si>
  <si>
    <t>Saldo</t>
  </si>
  <si>
    <t>Tributação</t>
  </si>
  <si>
    <t>Carteira de Clientes/Ativos de rede</t>
  </si>
  <si>
    <t>Non Compete</t>
  </si>
  <si>
    <t>Comissão - Dedutivel</t>
  </si>
  <si>
    <t>Total</t>
  </si>
  <si>
    <t>Premissas</t>
  </si>
  <si>
    <t>Saldo Liquido</t>
  </si>
  <si>
    <t>Intangivel Balanço</t>
  </si>
  <si>
    <t>Laudo</t>
  </si>
  <si>
    <t>total</t>
  </si>
  <si>
    <t>Mês</t>
  </si>
  <si>
    <t>Fee Advisor</t>
  </si>
  <si>
    <t>Non compete PF</t>
  </si>
  <si>
    <t>Tipo de Pagamento</t>
  </si>
  <si>
    <t>Total Geral</t>
  </si>
  <si>
    <t>Bsb Internet</t>
  </si>
  <si>
    <t>Cev Fibra Comercio e Servicos de Comunicacao Ltda</t>
  </si>
  <si>
    <t>Giptelecom</t>
  </si>
  <si>
    <t>Hilan Telecom Ltda</t>
  </si>
  <si>
    <t>Interfiber Telecom Ltda</t>
  </si>
  <si>
    <t>Saida Sócio</t>
  </si>
  <si>
    <t>Total Mensal</t>
  </si>
  <si>
    <t>Totais</t>
  </si>
  <si>
    <t>Fluxo pagamento</t>
  </si>
  <si>
    <t>Fee advisor</t>
  </si>
  <si>
    <t>Banco</t>
  </si>
  <si>
    <t>Agência</t>
  </si>
  <si>
    <t>Conta</t>
  </si>
  <si>
    <t>Favorecido</t>
  </si>
  <si>
    <t>CNPJ</t>
  </si>
  <si>
    <t>BSB INTERNERT</t>
  </si>
  <si>
    <t>13001338-6</t>
  </si>
  <si>
    <t>Vec Fibra</t>
  </si>
  <si>
    <t>32184-2</t>
  </si>
  <si>
    <t>Leao construtora e Serviços</t>
  </si>
  <si>
    <t>01003754-4</t>
  </si>
  <si>
    <t>Vicente Araújo Lima Filho</t>
  </si>
  <si>
    <t>Ediene Oliveira de Araújo</t>
  </si>
  <si>
    <t>Victor Júlio dos Santos</t>
  </si>
  <si>
    <t>Sandro Gomes de Araújo</t>
  </si>
  <si>
    <t>Pedro Humberto alves Albenaz</t>
  </si>
  <si>
    <t>Nair Soares Gontijo</t>
  </si>
  <si>
    <t>11468-5</t>
  </si>
  <si>
    <t>260013-7</t>
  </si>
  <si>
    <t>33927-0</t>
  </si>
  <si>
    <t>27557-3</t>
  </si>
  <si>
    <t>24864-9</t>
  </si>
  <si>
    <t>18036-0</t>
  </si>
  <si>
    <t>118152-1</t>
  </si>
  <si>
    <t>31759-4</t>
  </si>
  <si>
    <t>51.352.661/0001-17</t>
  </si>
  <si>
    <t>689.754.811-15</t>
  </si>
  <si>
    <t>186.441.438-32</t>
  </si>
  <si>
    <t>486.011.441-87</t>
  </si>
  <si>
    <t>477.725.496-87</t>
  </si>
  <si>
    <t>013.382.796-88</t>
  </si>
  <si>
    <t>12.239.348/0001-15</t>
  </si>
  <si>
    <t>31.390.568/0001-90</t>
  </si>
  <si>
    <t>27.851.023/0001-66</t>
  </si>
  <si>
    <t>934.896.413-53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</si>
</sst>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R$&quot;\ #,##0;[Red]\-&quot;R$&quot;\ #,##0"/>
    <numFmt numFmtId="43" formatCode="_-* #,##0.00_-;\-* #,##0.00_-;_-* &quot;-&quot;??_-;_-@_-"/>
    <numFmt numFmtId="164" formatCode="_-* #,##0_-;\-* #,##0_-;_-* &quot;-&quot;??_-;_-@_-"/>
    <numFmt numFmtId="165" formatCode="&quot;R$&quot;\ #,##0"/>
    <numFmt numFmtId="166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theme="1"/>
      <name val="Calibri"/>
      <family val="2"/>
      <charset val="1"/>
    </font>
    <font>
      <b/>
      <u/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43" fontId="1" fillId="0" borderId="0" applyFont="0" applyFill="0" applyBorder="0" applyProtection="0"/>
    <xf numFmtId="9" fontId="1" fillId="0" borderId="0" applyFont="0" applyFill="0" applyBorder="0" applyAlignment="0" applyProtection="0"/>
    <xf numFmtId="0" fontId="5" fillId="0" borderId="0"/>
  </cellStyleXfs>
  <cellXfs count="48">
    <xf numFmtId="0" fontId="0" fillId="0" borderId="0" xfId="0"/>
    <xf numFmtId="0" fontId="1" fillId="0" borderId="0" xfId="0" applyFont="1"/>
    <xf numFmtId="164" fontId="0" fillId="0" borderId="0" xfId="1" applyNumberFormat="1" applyFont="1"/>
    <xf numFmtId="165" fontId="0" fillId="0" borderId="0" xfId="0" applyNumberFormat="1"/>
    <xf numFmtId="6" fontId="0" fillId="0" borderId="0" xfId="0" applyNumberFormat="1"/>
    <xf numFmtId="0" fontId="4" fillId="0" borderId="0" xfId="0" applyFont="1"/>
    <xf numFmtId="6" fontId="4" fillId="0" borderId="0" xfId="0" applyNumberFormat="1" applyFont="1"/>
    <xf numFmtId="0" fontId="0" fillId="0" borderId="7" xfId="0" applyBorder="1"/>
    <xf numFmtId="6" fontId="0" fillId="0" borderId="7" xfId="0" applyNumberFormat="1" applyBorder="1"/>
    <xf numFmtId="0" fontId="4" fillId="0" borderId="8" xfId="0" applyFont="1" applyBorder="1"/>
    <xf numFmtId="0" fontId="0" fillId="0" borderId="9" xfId="0" applyBorder="1"/>
    <xf numFmtId="0" fontId="1" fillId="0" borderId="10" xfId="0" applyFont="1" applyBorder="1"/>
    <xf numFmtId="6" fontId="0" fillId="0" borderId="11" xfId="0" applyNumberFormat="1" applyBorder="1"/>
    <xf numFmtId="165" fontId="0" fillId="0" borderId="11" xfId="0" applyNumberFormat="1" applyBorder="1"/>
    <xf numFmtId="0" fontId="0" fillId="0" borderId="12" xfId="0" applyBorder="1"/>
    <xf numFmtId="6" fontId="0" fillId="0" borderId="13" xfId="0" applyNumberFormat="1" applyBorder="1"/>
    <xf numFmtId="6" fontId="1" fillId="0" borderId="7" xfId="0" applyNumberFormat="1" applyFont="1" applyBorder="1"/>
    <xf numFmtId="17" fontId="1" fillId="0" borderId="10" xfId="0" applyNumberFormat="1" applyFont="1" applyBorder="1"/>
    <xf numFmtId="0" fontId="6" fillId="4" borderId="0" xfId="3" applyFont="1" applyFill="1"/>
    <xf numFmtId="17" fontId="6" fillId="4" borderId="0" xfId="3" applyNumberFormat="1" applyFont="1" applyFill="1" applyAlignment="1">
      <alignment horizontal="center"/>
    </xf>
    <xf numFmtId="17" fontId="6" fillId="5" borderId="0" xfId="3" applyNumberFormat="1" applyFont="1" applyFill="1" applyAlignment="1">
      <alignment horizontal="center"/>
    </xf>
    <xf numFmtId="0" fontId="5" fillId="0" borderId="0" xfId="3"/>
    <xf numFmtId="0" fontId="6" fillId="5" borderId="0" xfId="3" applyFont="1" applyFill="1"/>
    <xf numFmtId="0" fontId="3" fillId="3" borderId="7" xfId="0" applyFont="1" applyFill="1" applyBorder="1"/>
    <xf numFmtId="0" fontId="2" fillId="3" borderId="7" xfId="0" applyFont="1" applyFill="1" applyBorder="1"/>
    <xf numFmtId="0" fontId="2" fillId="3" borderId="10" xfId="0" applyFont="1" applyFill="1" applyBorder="1"/>
    <xf numFmtId="0" fontId="3" fillId="3" borderId="11" xfId="0" applyFont="1" applyFill="1" applyBorder="1"/>
    <xf numFmtId="0" fontId="0" fillId="0" borderId="3" xfId="0" applyBorder="1"/>
    <xf numFmtId="0" fontId="0" fillId="0" borderId="4" xfId="0" applyBorder="1"/>
    <xf numFmtId="6" fontId="8" fillId="6" borderId="5" xfId="0" applyNumberFormat="1" applyFont="1" applyFill="1" applyBorder="1"/>
    <xf numFmtId="6" fontId="8" fillId="6" borderId="17" xfId="0" applyNumberFormat="1" applyFont="1" applyFill="1" applyBorder="1"/>
    <xf numFmtId="6" fontId="8" fillId="6" borderId="6" xfId="0" applyNumberFormat="1" applyFont="1" applyFill="1" applyBorder="1"/>
    <xf numFmtId="166" fontId="0" fillId="0" borderId="0" xfId="2" applyNumberFormat="1" applyFont="1"/>
    <xf numFmtId="0" fontId="6" fillId="4" borderId="0" xfId="3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43" fontId="5" fillId="0" borderId="0" xfId="1" applyFont="1"/>
    <xf numFmtId="43" fontId="7" fillId="5" borderId="0" xfId="1" applyFont="1" applyFill="1"/>
    <xf numFmtId="0" fontId="6" fillId="4" borderId="18" xfId="3" applyFont="1" applyFill="1" applyBorder="1"/>
    <xf numFmtId="0" fontId="6" fillId="4" borderId="18" xfId="3" applyFont="1" applyFill="1" applyBorder="1" applyAlignment="1">
      <alignment horizontal="center"/>
    </xf>
    <xf numFmtId="43" fontId="5" fillId="0" borderId="18" xfId="1" applyFont="1" applyBorder="1"/>
    <xf numFmtId="43" fontId="7" fillId="5" borderId="18" xfId="1" applyFont="1" applyFill="1" applyBorder="1"/>
    <xf numFmtId="0" fontId="6" fillId="4" borderId="19" xfId="3" applyFont="1" applyFill="1" applyBorder="1"/>
    <xf numFmtId="0" fontId="6" fillId="4" borderId="19" xfId="3" applyFont="1" applyFill="1" applyBorder="1" applyAlignment="1">
      <alignment horizontal="center"/>
    </xf>
    <xf numFmtId="43" fontId="5" fillId="0" borderId="19" xfId="1" applyFont="1" applyBorder="1"/>
  </cellXfs>
  <cellStyles count="4">
    <cellStyle name="Normal" xfId="0" builtinId="0"/>
    <cellStyle name="Normal 2" xfId="3" xr:uid="{473AA21B-2A84-46B7-B869-3551EEC30F29}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F1BF8-66D7-4428-B26D-761A6FB4EF3A}">
  <dimension ref="B1:N56"/>
  <sheetViews>
    <sheetView topLeftCell="B1" zoomScale="140" zoomScaleNormal="140" workbookViewId="0">
      <selection activeCell="E59" sqref="E59"/>
    </sheetView>
  </sheetViews>
  <sheetFormatPr defaultRowHeight="15" x14ac:dyDescent="0.25"/>
  <cols>
    <col min="1" max="1" width="0.7109375" customWidth="1"/>
    <col min="2" max="2" width="29.85546875" bestFit="1" customWidth="1"/>
    <col min="3" max="3" width="14" bestFit="1" customWidth="1"/>
    <col min="4" max="4" width="1.42578125" customWidth="1"/>
    <col min="5" max="5" width="13.85546875" bestFit="1" customWidth="1"/>
    <col min="6" max="6" width="14.5703125" bestFit="1" customWidth="1"/>
    <col min="7" max="8" width="12.85546875" bestFit="1" customWidth="1"/>
    <col min="9" max="9" width="16.28515625" bestFit="1" customWidth="1"/>
    <col min="10" max="10" width="12.85546875" bestFit="1" customWidth="1"/>
    <col min="11" max="11" width="11.85546875" bestFit="1" customWidth="1"/>
    <col min="12" max="12" width="13.85546875" bestFit="1" customWidth="1"/>
    <col min="13" max="13" width="11.5703125" bestFit="1" customWidth="1"/>
    <col min="14" max="14" width="13.85546875" bestFit="1" customWidth="1"/>
  </cols>
  <sheetData>
    <row r="1" spans="2:14" ht="5.45" customHeight="1" thickBot="1" x14ac:dyDescent="0.3"/>
    <row r="2" spans="2:14" ht="15.75" thickBot="1" x14ac:dyDescent="0.3">
      <c r="B2" s="34" t="s">
        <v>17</v>
      </c>
      <c r="C2" s="35"/>
      <c r="E2" s="36" t="s">
        <v>35</v>
      </c>
      <c r="F2" s="37"/>
      <c r="G2" s="37"/>
      <c r="H2" s="37"/>
      <c r="I2" s="37"/>
      <c r="J2" s="37"/>
      <c r="K2" s="37"/>
      <c r="L2" s="38"/>
    </row>
    <row r="3" spans="2:14" x14ac:dyDescent="0.25">
      <c r="B3" s="1" t="s">
        <v>0</v>
      </c>
      <c r="C3" s="2">
        <v>58000</v>
      </c>
      <c r="E3" s="25" t="s">
        <v>22</v>
      </c>
      <c r="F3" s="23" t="s">
        <v>24</v>
      </c>
      <c r="G3" s="23" t="s">
        <v>4</v>
      </c>
      <c r="H3" s="23" t="s">
        <v>3</v>
      </c>
      <c r="I3" s="24" t="s">
        <v>1</v>
      </c>
      <c r="J3" s="23" t="s">
        <v>5</v>
      </c>
      <c r="K3" s="23" t="s">
        <v>23</v>
      </c>
      <c r="L3" s="26" t="s">
        <v>16</v>
      </c>
    </row>
    <row r="4" spans="2:14" x14ac:dyDescent="0.25">
      <c r="B4" s="1" t="s">
        <v>2</v>
      </c>
      <c r="C4" s="3">
        <v>2850</v>
      </c>
      <c r="E4" s="11" t="s">
        <v>9</v>
      </c>
      <c r="F4" s="8">
        <f>+C12/4</f>
        <v>12397500</v>
      </c>
      <c r="G4" s="8">
        <f>+C6-F4-K4-H4</f>
        <v>25722500</v>
      </c>
      <c r="H4" s="8">
        <v>25000000</v>
      </c>
      <c r="I4" s="8">
        <v>0</v>
      </c>
      <c r="J4" s="8"/>
      <c r="K4" s="8">
        <v>3000000</v>
      </c>
      <c r="L4" s="12">
        <f>SUM(F4:K4)</f>
        <v>66120000</v>
      </c>
    </row>
    <row r="5" spans="2:14" x14ac:dyDescent="0.25">
      <c r="B5" s="1" t="s">
        <v>7</v>
      </c>
      <c r="C5" s="3">
        <f>+C4*C3</f>
        <v>165300000</v>
      </c>
      <c r="E5" s="17">
        <v>46235</v>
      </c>
      <c r="F5" s="7"/>
      <c r="G5" s="7"/>
      <c r="H5" s="7"/>
      <c r="I5" s="8">
        <f>+'Pgto Sellers'!G13</f>
        <v>0</v>
      </c>
      <c r="J5" s="8"/>
      <c r="K5" s="8"/>
      <c r="L5" s="12">
        <f t="shared" ref="L5:L51" si="0">SUM(F5:K5)</f>
        <v>0</v>
      </c>
      <c r="M5" s="4"/>
    </row>
    <row r="6" spans="2:14" x14ac:dyDescent="0.25">
      <c r="B6" s="1" t="s">
        <v>8</v>
      </c>
      <c r="C6" s="3">
        <f>+C5*0.4</f>
        <v>66120000</v>
      </c>
      <c r="E6" s="17">
        <v>46266</v>
      </c>
      <c r="F6" s="7"/>
      <c r="G6" s="7"/>
      <c r="H6" s="7"/>
      <c r="I6" s="8">
        <f>+'Pgto Sellers'!H13</f>
        <v>923769.698125</v>
      </c>
      <c r="J6" s="7"/>
      <c r="K6" s="7"/>
      <c r="L6" s="12">
        <f t="shared" si="0"/>
        <v>923769.698125</v>
      </c>
      <c r="M6" s="32"/>
    </row>
    <row r="7" spans="2:14" x14ac:dyDescent="0.25">
      <c r="B7" s="1" t="s">
        <v>10</v>
      </c>
      <c r="C7" s="4">
        <f>+SUM(I5:I24)</f>
        <v>9418236.6343749985</v>
      </c>
      <c r="E7" s="17">
        <v>46296</v>
      </c>
      <c r="F7" s="8"/>
      <c r="G7" s="8"/>
      <c r="H7" s="8"/>
      <c r="I7" s="8">
        <f>+'Pgto Sellers'!I13</f>
        <v>1003778.028125</v>
      </c>
      <c r="J7" s="8">
        <f>+($C$8/16-SUM(I5:I6))-I7</f>
        <v>4271202.2737499997</v>
      </c>
      <c r="K7" s="8"/>
      <c r="L7" s="12">
        <f t="shared" si="0"/>
        <v>5274980.3018749999</v>
      </c>
      <c r="M7" s="4"/>
    </row>
    <row r="8" spans="2:14" x14ac:dyDescent="0.25">
      <c r="B8" s="1" t="s">
        <v>11</v>
      </c>
      <c r="C8" s="3">
        <f>+C5-C6</f>
        <v>99180000</v>
      </c>
      <c r="E8" s="17">
        <v>46327</v>
      </c>
      <c r="F8" s="7"/>
      <c r="G8" s="7"/>
      <c r="H8" s="7"/>
      <c r="I8" s="8">
        <f>+'Pgto Sellers'!J13</f>
        <v>923769.698125</v>
      </c>
      <c r="J8" s="7"/>
      <c r="K8" s="7"/>
      <c r="L8" s="12">
        <f t="shared" si="0"/>
        <v>923769.698125</v>
      </c>
      <c r="N8" s="4"/>
    </row>
    <row r="9" spans="2:14" ht="15.75" thickBot="1" x14ac:dyDescent="0.3">
      <c r="B9" t="s">
        <v>36</v>
      </c>
      <c r="C9" s="3">
        <f>+C5*0.03</f>
        <v>4959000</v>
      </c>
      <c r="D9" s="4"/>
      <c r="E9" s="17">
        <v>46357</v>
      </c>
      <c r="F9" s="7"/>
      <c r="G9" s="7"/>
      <c r="H9" s="7"/>
      <c r="I9" s="8">
        <f>+'Pgto Sellers'!K13</f>
        <v>691867.71812500001</v>
      </c>
      <c r="J9" s="7"/>
      <c r="K9" s="7"/>
      <c r="L9" s="12">
        <f t="shared" si="0"/>
        <v>691867.71812500001</v>
      </c>
    </row>
    <row r="10" spans="2:14" x14ac:dyDescent="0.25">
      <c r="B10" s="9" t="s">
        <v>12</v>
      </c>
      <c r="C10" s="10"/>
      <c r="D10" s="4"/>
      <c r="E10" s="17">
        <v>46388</v>
      </c>
      <c r="F10" s="16"/>
      <c r="G10" s="16"/>
      <c r="H10" s="16"/>
      <c r="I10" s="8">
        <f>+'Pgto Sellers'!L13</f>
        <v>611883.88812499994</v>
      </c>
      <c r="J10" s="8">
        <f>+($C$8/16-SUM(I8:I9))-SUM(F10:I10)</f>
        <v>3971228.6956250002</v>
      </c>
      <c r="K10" s="8"/>
      <c r="L10" s="12">
        <f t="shared" si="0"/>
        <v>4583112.5837500002</v>
      </c>
    </row>
    <row r="11" spans="2:14" x14ac:dyDescent="0.25">
      <c r="B11" s="11" t="s">
        <v>13</v>
      </c>
      <c r="C11" s="12">
        <f>+C5-C12-C13</f>
        <v>95710000</v>
      </c>
      <c r="E11" s="17">
        <v>46419</v>
      </c>
      <c r="F11" s="7"/>
      <c r="G11" s="7"/>
      <c r="H11" s="7"/>
      <c r="I11" s="8">
        <f>+'Pgto Sellers'!M13</f>
        <v>689566.12812500005</v>
      </c>
      <c r="J11" s="7"/>
      <c r="K11" s="7"/>
      <c r="L11" s="12">
        <f t="shared" si="0"/>
        <v>689566.12812500005</v>
      </c>
    </row>
    <row r="12" spans="2:14" x14ac:dyDescent="0.25">
      <c r="B12" s="11" t="s">
        <v>14</v>
      </c>
      <c r="C12" s="12">
        <f>+C5*0.3</f>
        <v>49590000</v>
      </c>
      <c r="E12" s="17">
        <v>46447</v>
      </c>
      <c r="F12" s="7"/>
      <c r="G12" s="7"/>
      <c r="H12" s="7"/>
      <c r="I12" s="8">
        <f>+'Pgto Sellers'!N13</f>
        <v>595386.96812500001</v>
      </c>
      <c r="J12" s="7"/>
      <c r="K12" s="7"/>
      <c r="L12" s="12">
        <f t="shared" si="0"/>
        <v>595386.96812500001</v>
      </c>
    </row>
    <row r="13" spans="2:14" x14ac:dyDescent="0.25">
      <c r="B13" s="11" t="s">
        <v>5</v>
      </c>
      <c r="C13" s="13">
        <v>20000000</v>
      </c>
      <c r="E13" s="17">
        <v>46478</v>
      </c>
      <c r="F13" s="16"/>
      <c r="G13" s="16"/>
      <c r="H13" s="16"/>
      <c r="I13" s="8">
        <f>+'Pgto Sellers'!O13</f>
        <v>673786.02812499995</v>
      </c>
      <c r="J13" s="8">
        <f>+($C$8/16-SUM(I11:I12))-SUM(F13:I13)</f>
        <v>4240010.8756250003</v>
      </c>
      <c r="K13" s="8"/>
      <c r="L13" s="12">
        <f t="shared" si="0"/>
        <v>4913796.9037500005</v>
      </c>
    </row>
    <row r="14" spans="2:14" ht="15.75" thickBot="1" x14ac:dyDescent="0.3">
      <c r="B14" s="14" t="s">
        <v>21</v>
      </c>
      <c r="C14" s="15">
        <f>SUM(C11:C13)</f>
        <v>165300000</v>
      </c>
      <c r="E14" s="17">
        <v>46508</v>
      </c>
      <c r="F14" s="7"/>
      <c r="G14" s="7"/>
      <c r="H14" s="7"/>
      <c r="I14" s="8">
        <f>+'Pgto Sellers'!P13</f>
        <v>356239.30812499998</v>
      </c>
      <c r="J14" s="7"/>
      <c r="K14" s="7"/>
      <c r="L14" s="12">
        <f t="shared" si="0"/>
        <v>356239.30812499998</v>
      </c>
    </row>
    <row r="15" spans="2:14" x14ac:dyDescent="0.25">
      <c r="E15" s="17">
        <v>46539</v>
      </c>
      <c r="F15" s="7"/>
      <c r="G15" s="7"/>
      <c r="H15" s="7"/>
      <c r="I15" s="8">
        <f>+'Pgto Sellers'!Q13</f>
        <v>356247.638125</v>
      </c>
      <c r="J15" s="7"/>
      <c r="K15" s="7"/>
      <c r="L15" s="12">
        <f t="shared" si="0"/>
        <v>356247.638125</v>
      </c>
    </row>
    <row r="16" spans="2:14" x14ac:dyDescent="0.25">
      <c r="B16" t="s">
        <v>6</v>
      </c>
      <c r="C16" s="3">
        <f>+C13*0.1534</f>
        <v>3068000</v>
      </c>
      <c r="E16" s="17">
        <v>46569</v>
      </c>
      <c r="F16" s="16"/>
      <c r="G16" s="16"/>
      <c r="H16" s="16"/>
      <c r="I16" s="8">
        <f>+'Pgto Sellers'!R13</f>
        <v>356239.30812499998</v>
      </c>
      <c r="J16" s="8">
        <f>+($C$8/16-SUM(I14:I15))-SUM(F16:I16)</f>
        <v>5130023.7456250004</v>
      </c>
      <c r="K16" s="8"/>
      <c r="L16" s="12">
        <f t="shared" si="0"/>
        <v>5486263.0537500009</v>
      </c>
    </row>
    <row r="17" spans="2:12" x14ac:dyDescent="0.25">
      <c r="B17" s="5" t="s">
        <v>18</v>
      </c>
      <c r="C17" s="6">
        <f>+C5-C16-C21</f>
        <v>157273000</v>
      </c>
      <c r="E17" s="17">
        <v>46600</v>
      </c>
      <c r="F17" s="7"/>
      <c r="G17" s="7"/>
      <c r="H17" s="7"/>
      <c r="I17" s="8">
        <f>+'Pgto Sellers'!S13</f>
        <v>356247.638125</v>
      </c>
      <c r="J17" s="7"/>
      <c r="K17" s="7"/>
      <c r="L17" s="12">
        <f t="shared" si="0"/>
        <v>356247.638125</v>
      </c>
    </row>
    <row r="18" spans="2:12" x14ac:dyDescent="0.25">
      <c r="B18" t="s">
        <v>3</v>
      </c>
      <c r="C18" s="4">
        <v>25000000</v>
      </c>
      <c r="E18" s="17">
        <v>46631</v>
      </c>
      <c r="F18" s="7"/>
      <c r="G18" s="7"/>
      <c r="H18" s="7"/>
      <c r="I18" s="8">
        <f>+'Pgto Sellers'!T13</f>
        <v>353556.56812499999</v>
      </c>
      <c r="J18" s="7"/>
      <c r="K18" s="7"/>
      <c r="L18" s="12">
        <f t="shared" si="0"/>
        <v>353556.56812499999</v>
      </c>
    </row>
    <row r="19" spans="2:12" x14ac:dyDescent="0.25">
      <c r="B19" s="1" t="s">
        <v>19</v>
      </c>
      <c r="C19" s="4">
        <v>32000000</v>
      </c>
      <c r="E19" s="17">
        <v>46661</v>
      </c>
      <c r="F19" s="7"/>
      <c r="G19" s="7"/>
      <c r="H19" s="7"/>
      <c r="I19" s="8">
        <f>+'Pgto Sellers'!U13</f>
        <v>353564.93812499999</v>
      </c>
      <c r="J19" s="7"/>
      <c r="K19" s="7"/>
      <c r="L19" s="12">
        <f t="shared" si="0"/>
        <v>353564.93812499999</v>
      </c>
    </row>
    <row r="20" spans="2:12" x14ac:dyDescent="0.25">
      <c r="B20" t="s">
        <v>20</v>
      </c>
      <c r="C20" s="4">
        <v>35000000</v>
      </c>
      <c r="E20" s="17">
        <v>46692</v>
      </c>
      <c r="F20" s="7"/>
      <c r="G20" s="7"/>
      <c r="H20" s="7"/>
      <c r="I20" s="8">
        <f>+'Pgto Sellers'!V13</f>
        <v>236898.198125</v>
      </c>
      <c r="J20" s="7"/>
      <c r="K20" s="7"/>
      <c r="L20" s="12">
        <f t="shared" si="0"/>
        <v>236898.198125</v>
      </c>
    </row>
    <row r="21" spans="2:12" x14ac:dyDescent="0.25">
      <c r="B21" s="1" t="s">
        <v>15</v>
      </c>
      <c r="C21" s="4">
        <f>+C5*3%</f>
        <v>4959000</v>
      </c>
      <c r="E21" s="17">
        <v>46722</v>
      </c>
      <c r="F21" s="7"/>
      <c r="G21" s="7"/>
      <c r="H21" s="7"/>
      <c r="I21" s="8">
        <f>+'Pgto Sellers'!W13</f>
        <v>236898.198125</v>
      </c>
      <c r="J21" s="7"/>
      <c r="K21" s="7"/>
      <c r="L21" s="12">
        <f t="shared" si="0"/>
        <v>236898.198125</v>
      </c>
    </row>
    <row r="22" spans="2:12" x14ac:dyDescent="0.25">
      <c r="B22" s="1"/>
      <c r="C22" s="4">
        <f>SUM(C18:C21)</f>
        <v>96959000</v>
      </c>
      <c r="E22" s="17">
        <v>46753</v>
      </c>
      <c r="F22" s="7"/>
      <c r="G22" s="7"/>
      <c r="H22" s="7"/>
      <c r="I22" s="8">
        <f>+'Pgto Sellers'!X13</f>
        <v>234424.08812500001</v>
      </c>
      <c r="J22" s="7"/>
      <c r="K22" s="7"/>
      <c r="L22" s="12">
        <f t="shared" si="0"/>
        <v>234424.08812500001</v>
      </c>
    </row>
    <row r="23" spans="2:12" x14ac:dyDescent="0.25">
      <c r="B23" s="1"/>
      <c r="C23" s="4"/>
      <c r="E23" s="17">
        <v>46784</v>
      </c>
      <c r="F23" s="7"/>
      <c r="G23" s="7"/>
      <c r="H23" s="7"/>
      <c r="I23" s="8">
        <f>+'Pgto Sellers'!Y13</f>
        <v>232056.298125</v>
      </c>
      <c r="J23" s="7"/>
      <c r="K23" s="7"/>
      <c r="L23" s="12">
        <f t="shared" si="0"/>
        <v>232056.298125</v>
      </c>
    </row>
    <row r="24" spans="2:12" x14ac:dyDescent="0.25">
      <c r="B24" s="1"/>
      <c r="C24" s="4">
        <f>+C6-C18</f>
        <v>41120000</v>
      </c>
      <c r="E24" s="17">
        <v>46813</v>
      </c>
      <c r="F24" s="7"/>
      <c r="G24" s="7"/>
      <c r="H24" s="7"/>
      <c r="I24" s="8">
        <f>+'Pgto Sellers'!Z13</f>
        <v>232056.298125</v>
      </c>
      <c r="J24" s="7"/>
      <c r="K24" s="7"/>
      <c r="L24" s="12">
        <f t="shared" si="0"/>
        <v>232056.298125</v>
      </c>
    </row>
    <row r="25" spans="2:12" x14ac:dyDescent="0.25">
      <c r="B25" s="1"/>
      <c r="C25" s="4"/>
      <c r="E25" s="17">
        <v>46844</v>
      </c>
      <c r="F25" s="7"/>
      <c r="G25" s="7"/>
      <c r="H25" s="7"/>
      <c r="I25" s="8">
        <f>+'Pgto Sellers'!AA13</f>
        <v>232056.298125</v>
      </c>
      <c r="J25" s="7"/>
      <c r="K25" s="7"/>
      <c r="L25" s="12">
        <f t="shared" si="0"/>
        <v>232056.298125</v>
      </c>
    </row>
    <row r="26" spans="2:12" x14ac:dyDescent="0.25">
      <c r="E26" s="17">
        <v>46874</v>
      </c>
      <c r="F26" s="7"/>
      <c r="G26" s="7"/>
      <c r="H26" s="7"/>
      <c r="I26" s="8">
        <f>+'Pgto Sellers'!AB13</f>
        <v>151754.608125</v>
      </c>
      <c r="J26" s="7"/>
      <c r="K26" s="7"/>
      <c r="L26" s="12">
        <f t="shared" si="0"/>
        <v>151754.608125</v>
      </c>
    </row>
    <row r="27" spans="2:12" x14ac:dyDescent="0.25">
      <c r="B27" s="1"/>
      <c r="C27" s="4"/>
      <c r="E27" s="17">
        <v>46905</v>
      </c>
      <c r="F27" s="7"/>
      <c r="G27" s="7"/>
      <c r="H27" s="7"/>
      <c r="I27" s="8">
        <f>+'Pgto Sellers'!AC13</f>
        <v>151754.608125</v>
      </c>
      <c r="J27" s="7"/>
      <c r="K27" s="7"/>
      <c r="L27" s="12">
        <f t="shared" si="0"/>
        <v>151754.608125</v>
      </c>
    </row>
    <row r="28" spans="2:12" x14ac:dyDescent="0.25">
      <c r="E28" s="17">
        <v>46935</v>
      </c>
      <c r="F28" s="16">
        <f>+F4</f>
        <v>12397500</v>
      </c>
      <c r="G28" s="16">
        <f>++$C$8/4-SUM(I17:I28)-J28-F28-K28</f>
        <v>6433943.2431249991</v>
      </c>
      <c r="H28" s="16"/>
      <c r="I28" s="8">
        <f>+'Pgto Sellers'!AD13</f>
        <v>151754.608125</v>
      </c>
      <c r="J28" s="8">
        <f>+C13-J16-J13-J10-J7</f>
        <v>2387534.4093750007</v>
      </c>
      <c r="K28" s="8">
        <f>+($C$9-$K$4)/3</f>
        <v>653000</v>
      </c>
      <c r="L28" s="12">
        <f t="shared" si="0"/>
        <v>22023732.260625001</v>
      </c>
    </row>
    <row r="29" spans="2:12" x14ac:dyDescent="0.25">
      <c r="B29" s="1"/>
      <c r="C29" s="3"/>
      <c r="E29" s="17">
        <v>46966</v>
      </c>
      <c r="F29" s="7"/>
      <c r="G29" s="7"/>
      <c r="H29" s="7"/>
      <c r="I29" s="8">
        <f>+'Pgto Sellers'!AE13</f>
        <v>151754.608125</v>
      </c>
      <c r="J29" s="7"/>
      <c r="K29" s="7"/>
      <c r="L29" s="12">
        <f t="shared" si="0"/>
        <v>151754.608125</v>
      </c>
    </row>
    <row r="30" spans="2:12" x14ac:dyDescent="0.25">
      <c r="B30" s="1"/>
      <c r="C30" s="4"/>
      <c r="E30" s="17">
        <v>46997</v>
      </c>
      <c r="F30" s="7"/>
      <c r="G30" s="7"/>
      <c r="H30" s="7"/>
      <c r="I30" s="8">
        <f>+'Pgto Sellers'!AF13</f>
        <v>151754.608125</v>
      </c>
      <c r="J30" s="7"/>
      <c r="K30" s="7"/>
      <c r="L30" s="12">
        <f t="shared" si="0"/>
        <v>151754.608125</v>
      </c>
    </row>
    <row r="31" spans="2:12" x14ac:dyDescent="0.25">
      <c r="E31" s="17">
        <v>47027</v>
      </c>
      <c r="F31" s="7"/>
      <c r="G31" s="7"/>
      <c r="H31" s="7"/>
      <c r="I31" s="8">
        <f>+'Pgto Sellers'!AG13</f>
        <v>151754.608125</v>
      </c>
      <c r="J31" s="7"/>
      <c r="K31" s="7"/>
      <c r="L31" s="12">
        <f t="shared" si="0"/>
        <v>151754.608125</v>
      </c>
    </row>
    <row r="32" spans="2:12" x14ac:dyDescent="0.25">
      <c r="E32" s="17">
        <v>47058</v>
      </c>
      <c r="F32" s="7"/>
      <c r="G32" s="7"/>
      <c r="H32" s="7"/>
      <c r="I32" s="8">
        <f>+'Pgto Sellers'!AH13</f>
        <v>151754.608125</v>
      </c>
      <c r="J32" s="7"/>
      <c r="K32" s="7"/>
      <c r="L32" s="12">
        <f t="shared" si="0"/>
        <v>151754.608125</v>
      </c>
    </row>
    <row r="33" spans="5:12" x14ac:dyDescent="0.25">
      <c r="E33" s="17">
        <v>47088</v>
      </c>
      <c r="F33" s="7"/>
      <c r="G33" s="7"/>
      <c r="H33" s="7"/>
      <c r="I33" s="8">
        <f>+'Pgto Sellers'!AI13</f>
        <v>151754.608125</v>
      </c>
      <c r="J33" s="7"/>
      <c r="K33" s="7"/>
      <c r="L33" s="12">
        <f t="shared" si="0"/>
        <v>151754.608125</v>
      </c>
    </row>
    <row r="34" spans="5:12" x14ac:dyDescent="0.25">
      <c r="E34" s="17">
        <v>47119</v>
      </c>
      <c r="F34" s="7"/>
      <c r="G34" s="7"/>
      <c r="H34" s="7"/>
      <c r="I34" s="8">
        <f>+'Pgto Sellers'!AJ13</f>
        <v>151754.608125</v>
      </c>
      <c r="J34" s="7"/>
      <c r="K34" s="7"/>
      <c r="L34" s="12">
        <f t="shared" si="0"/>
        <v>151754.608125</v>
      </c>
    </row>
    <row r="35" spans="5:12" x14ac:dyDescent="0.25">
      <c r="E35" s="17">
        <v>47150</v>
      </c>
      <c r="F35" s="7"/>
      <c r="G35" s="7"/>
      <c r="H35" s="7"/>
      <c r="I35" s="8">
        <f>+'Pgto Sellers'!AK13</f>
        <v>151754.608125</v>
      </c>
      <c r="J35" s="7"/>
      <c r="K35" s="7"/>
      <c r="L35" s="12">
        <f t="shared" si="0"/>
        <v>151754.608125</v>
      </c>
    </row>
    <row r="36" spans="5:12" x14ac:dyDescent="0.25">
      <c r="E36" s="17">
        <v>47178</v>
      </c>
      <c r="F36" s="7"/>
      <c r="G36" s="7"/>
      <c r="H36" s="7"/>
      <c r="I36" s="8">
        <f>+'Pgto Sellers'!AL13</f>
        <v>151754.608125</v>
      </c>
      <c r="J36" s="7"/>
      <c r="K36" s="7"/>
      <c r="L36" s="12">
        <f t="shared" si="0"/>
        <v>151754.608125</v>
      </c>
    </row>
    <row r="37" spans="5:12" x14ac:dyDescent="0.25">
      <c r="E37" s="17">
        <v>47209</v>
      </c>
      <c r="F37" s="7"/>
      <c r="G37" s="7"/>
      <c r="H37" s="7"/>
      <c r="I37" s="8">
        <f>+'Pgto Sellers'!AM13</f>
        <v>151754.608125</v>
      </c>
      <c r="J37" s="7"/>
      <c r="K37" s="7"/>
      <c r="L37" s="12">
        <f t="shared" si="0"/>
        <v>151754.608125</v>
      </c>
    </row>
    <row r="38" spans="5:12" x14ac:dyDescent="0.25">
      <c r="E38" s="17">
        <v>47239</v>
      </c>
      <c r="F38" s="7"/>
      <c r="G38" s="7"/>
      <c r="H38" s="7"/>
      <c r="I38" s="8">
        <f>+'Pgto Sellers'!AN13</f>
        <v>151754.608125</v>
      </c>
      <c r="J38" s="7"/>
      <c r="K38" s="7"/>
      <c r="L38" s="12">
        <f t="shared" si="0"/>
        <v>151754.608125</v>
      </c>
    </row>
    <row r="39" spans="5:12" x14ac:dyDescent="0.25">
      <c r="E39" s="17">
        <v>47270</v>
      </c>
      <c r="F39" s="7"/>
      <c r="G39" s="7"/>
      <c r="H39" s="7"/>
      <c r="I39" s="8">
        <f>+'Pgto Sellers'!AO13</f>
        <v>151754.608125</v>
      </c>
      <c r="J39" s="7"/>
      <c r="K39" s="7"/>
      <c r="L39" s="12">
        <f t="shared" si="0"/>
        <v>151754.608125</v>
      </c>
    </row>
    <row r="40" spans="5:12" x14ac:dyDescent="0.25">
      <c r="E40" s="17">
        <v>47300</v>
      </c>
      <c r="F40" s="16">
        <f>+F28</f>
        <v>12397500</v>
      </c>
      <c r="G40" s="16">
        <f>++$C$8/4-SUM(I29:I40)-J40-F40-K40</f>
        <v>9923444.7025000006</v>
      </c>
      <c r="H40" s="8"/>
      <c r="I40" s="8">
        <f>+'Pgto Sellers'!AP13</f>
        <v>151754.608125</v>
      </c>
      <c r="J40" s="7"/>
      <c r="K40" s="8">
        <f>+($C$9-$K$4)/3</f>
        <v>653000</v>
      </c>
      <c r="L40" s="12">
        <f t="shared" si="0"/>
        <v>23125699.310625002</v>
      </c>
    </row>
    <row r="41" spans="5:12" x14ac:dyDescent="0.25">
      <c r="E41" s="17">
        <v>47331</v>
      </c>
      <c r="F41" s="7"/>
      <c r="G41" s="7"/>
      <c r="H41" s="7"/>
      <c r="I41" s="8">
        <f>+'Pgto Sellers'!AQ13</f>
        <v>151754.608125</v>
      </c>
      <c r="J41" s="7"/>
      <c r="K41" s="7"/>
      <c r="L41" s="12">
        <f t="shared" si="0"/>
        <v>151754.608125</v>
      </c>
    </row>
    <row r="42" spans="5:12" x14ac:dyDescent="0.25">
      <c r="E42" s="17">
        <v>47362</v>
      </c>
      <c r="F42" s="7"/>
      <c r="G42" s="7"/>
      <c r="H42" s="7"/>
      <c r="I42" s="8">
        <f>+'Pgto Sellers'!AR13</f>
        <v>151754.608125</v>
      </c>
      <c r="J42" s="7"/>
      <c r="K42" s="7"/>
      <c r="L42" s="12">
        <f t="shared" si="0"/>
        <v>151754.608125</v>
      </c>
    </row>
    <row r="43" spans="5:12" x14ac:dyDescent="0.25">
      <c r="E43" s="17">
        <v>47392</v>
      </c>
      <c r="F43" s="7"/>
      <c r="G43" s="7"/>
      <c r="H43" s="7"/>
      <c r="I43" s="8">
        <f>+'Pgto Sellers'!AS13</f>
        <v>151754.608125</v>
      </c>
      <c r="J43" s="7"/>
      <c r="K43" s="7"/>
      <c r="L43" s="12">
        <f t="shared" si="0"/>
        <v>151754.608125</v>
      </c>
    </row>
    <row r="44" spans="5:12" x14ac:dyDescent="0.25">
      <c r="E44" s="17">
        <v>47423</v>
      </c>
      <c r="F44" s="7"/>
      <c r="G44" s="7"/>
      <c r="H44" s="7"/>
      <c r="I44" s="8">
        <f>+'Pgto Sellers'!AT13</f>
        <v>151754.608125</v>
      </c>
      <c r="J44" s="7"/>
      <c r="K44" s="7"/>
      <c r="L44" s="12">
        <f t="shared" si="0"/>
        <v>151754.608125</v>
      </c>
    </row>
    <row r="45" spans="5:12" x14ac:dyDescent="0.25">
      <c r="E45" s="17">
        <v>47453</v>
      </c>
      <c r="F45" s="7"/>
      <c r="G45" s="7"/>
      <c r="H45" s="7"/>
      <c r="I45" s="8">
        <f>+'Pgto Sellers'!AU13</f>
        <v>151754.608125</v>
      </c>
      <c r="J45" s="7"/>
      <c r="K45" s="7"/>
      <c r="L45" s="12">
        <f t="shared" si="0"/>
        <v>151754.608125</v>
      </c>
    </row>
    <row r="46" spans="5:12" x14ac:dyDescent="0.25">
      <c r="E46" s="17">
        <v>47484</v>
      </c>
      <c r="F46" s="7"/>
      <c r="G46" s="7"/>
      <c r="H46" s="7"/>
      <c r="I46" s="8">
        <f>+'Pgto Sellers'!AV13</f>
        <v>151754.608125</v>
      </c>
      <c r="J46" s="7"/>
      <c r="K46" s="7"/>
      <c r="L46" s="12">
        <f t="shared" si="0"/>
        <v>151754.608125</v>
      </c>
    </row>
    <row r="47" spans="5:12" x14ac:dyDescent="0.25">
      <c r="E47" s="17">
        <v>47515</v>
      </c>
      <c r="F47" s="7"/>
      <c r="G47" s="7"/>
      <c r="H47" s="7"/>
      <c r="I47" s="8">
        <f>+'Pgto Sellers'!AW13</f>
        <v>151754.608125</v>
      </c>
      <c r="J47" s="7"/>
      <c r="K47" s="7"/>
      <c r="L47" s="12">
        <f t="shared" si="0"/>
        <v>151754.608125</v>
      </c>
    </row>
    <row r="48" spans="5:12" x14ac:dyDescent="0.25">
      <c r="E48" s="17">
        <v>47543</v>
      </c>
      <c r="F48" s="7"/>
      <c r="G48" s="7"/>
      <c r="H48" s="7"/>
      <c r="I48" s="8">
        <f>+'Pgto Sellers'!AX13</f>
        <v>151754.608125</v>
      </c>
      <c r="J48" s="7"/>
      <c r="K48" s="7"/>
      <c r="L48" s="12">
        <f t="shared" si="0"/>
        <v>151754.608125</v>
      </c>
    </row>
    <row r="49" spans="5:12" x14ac:dyDescent="0.25">
      <c r="E49" s="17">
        <v>47574</v>
      </c>
      <c r="F49" s="7"/>
      <c r="G49" s="7"/>
      <c r="H49" s="7"/>
      <c r="I49" s="8">
        <f>+'Pgto Sellers'!AY13</f>
        <v>151754.608125</v>
      </c>
      <c r="J49" s="7"/>
      <c r="K49" s="7"/>
      <c r="L49" s="12">
        <f t="shared" si="0"/>
        <v>151754.608125</v>
      </c>
    </row>
    <row r="50" spans="5:12" x14ac:dyDescent="0.25">
      <c r="E50" s="17">
        <v>47604</v>
      </c>
      <c r="F50" s="7"/>
      <c r="G50" s="7"/>
      <c r="H50" s="7"/>
      <c r="I50" s="8">
        <f>+'Pgto Sellers'!AZ13</f>
        <v>151754.608125</v>
      </c>
      <c r="J50" s="7"/>
      <c r="K50" s="7"/>
      <c r="L50" s="12">
        <f t="shared" si="0"/>
        <v>151754.608125</v>
      </c>
    </row>
    <row r="51" spans="5:12" x14ac:dyDescent="0.25">
      <c r="E51" s="17">
        <v>47635</v>
      </c>
      <c r="F51" s="7"/>
      <c r="G51" s="7"/>
      <c r="H51" s="7"/>
      <c r="I51" s="8">
        <f>+'Pgto Sellers'!BA13</f>
        <v>151754.608125</v>
      </c>
      <c r="J51" s="7"/>
      <c r="K51" s="7"/>
      <c r="L51" s="12">
        <f t="shared" si="0"/>
        <v>151754.608125</v>
      </c>
    </row>
    <row r="52" spans="5:12" x14ac:dyDescent="0.25">
      <c r="E52" s="17">
        <v>47665</v>
      </c>
      <c r="F52" s="16">
        <f>+F40</f>
        <v>12397500</v>
      </c>
      <c r="G52" s="16">
        <f>++$C$8/4-SUM(I41:I52)-J52-F52-K52</f>
        <v>9923444.7025000006</v>
      </c>
      <c r="H52" s="8"/>
      <c r="I52" s="8">
        <f>+'Pgto Sellers'!BB13</f>
        <v>151754.608125</v>
      </c>
      <c r="J52" s="7"/>
      <c r="K52" s="8">
        <f>+($C$9-$K$4)/3</f>
        <v>653000</v>
      </c>
      <c r="L52" s="12">
        <f>SUM(F52:K52)</f>
        <v>23125699.310625002</v>
      </c>
    </row>
    <row r="53" spans="5:12" hidden="1" x14ac:dyDescent="0.25">
      <c r="E53" s="27"/>
      <c r="L53" s="28"/>
    </row>
    <row r="54" spans="5:12" ht="15.75" thickBot="1" x14ac:dyDescent="0.3">
      <c r="E54" s="29" t="s">
        <v>34</v>
      </c>
      <c r="F54" s="30">
        <f t="shared" ref="F54:L54" si="1">SUM(F4:F52)</f>
        <v>49590000</v>
      </c>
      <c r="G54" s="30">
        <f t="shared" si="1"/>
        <v>52003332.648125</v>
      </c>
      <c r="H54" s="30">
        <f t="shared" si="1"/>
        <v>25000000</v>
      </c>
      <c r="I54" s="30">
        <f t="shared" si="1"/>
        <v>13747667.351874981</v>
      </c>
      <c r="J54" s="30">
        <f t="shared" si="1"/>
        <v>20000000</v>
      </c>
      <c r="K54" s="30">
        <f t="shared" si="1"/>
        <v>4959000</v>
      </c>
      <c r="L54" s="31">
        <f t="shared" si="1"/>
        <v>165300000.00000006</v>
      </c>
    </row>
    <row r="55" spans="5:12" x14ac:dyDescent="0.25">
      <c r="E55" s="3"/>
      <c r="L55" s="4"/>
    </row>
    <row r="56" spans="5:12" x14ac:dyDescent="0.25">
      <c r="L56" s="4"/>
    </row>
  </sheetData>
  <mergeCells count="2">
    <mergeCell ref="B2:C2"/>
    <mergeCell ref="E2:L2"/>
  </mergeCells>
  <pageMargins left="0.511811024" right="0.511811024" top="0.78740157499999996" bottom="0.78740157499999996" header="0.31496062000000002" footer="0.31496062000000002"/>
  <ignoredErrors>
    <ignoredError sqref="C7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E2478-81A7-41DA-A913-0ACAF8FFFB93}">
  <dimension ref="A1:BC1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6" sqref="D16"/>
    </sheetView>
  </sheetViews>
  <sheetFormatPr defaultColWidth="8.85546875" defaultRowHeight="15" x14ac:dyDescent="0.25"/>
  <cols>
    <col min="1" max="1" width="50.5703125" style="21" customWidth="1"/>
    <col min="2" max="2" width="32.140625" style="21" customWidth="1"/>
    <col min="3" max="3" width="17.7109375" style="21" customWidth="1"/>
    <col min="4" max="4" width="8" style="21" bestFit="1" customWidth="1"/>
    <col min="5" max="5" width="10.7109375" style="21" bestFit="1" customWidth="1"/>
    <col min="6" max="6" width="18" style="21" bestFit="1" customWidth="1"/>
    <col min="7" max="8" width="11.85546875" style="21" bestFit="1" customWidth="1"/>
    <col min="9" max="9" width="13.28515625" style="21" bestFit="1" customWidth="1"/>
    <col min="10" max="10" width="11.85546875" style="21" bestFit="1" customWidth="1"/>
    <col min="11" max="54" width="11.5703125" style="21" bestFit="1" customWidth="1"/>
    <col min="55" max="55" width="14.28515625" style="21" bestFit="1" customWidth="1"/>
    <col min="56" max="16384" width="8.85546875" style="21"/>
  </cols>
  <sheetData>
    <row r="1" spans="1:55" x14ac:dyDescent="0.25">
      <c r="A1" s="18" t="s">
        <v>25</v>
      </c>
      <c r="B1" s="33" t="s">
        <v>40</v>
      </c>
      <c r="C1" s="33" t="s">
        <v>37</v>
      </c>
      <c r="D1" s="33" t="s">
        <v>38</v>
      </c>
      <c r="E1" s="33" t="s">
        <v>39</v>
      </c>
      <c r="F1" s="33" t="s">
        <v>41</v>
      </c>
      <c r="G1" s="19">
        <v>46235</v>
      </c>
      <c r="H1" s="19">
        <v>46266</v>
      </c>
      <c r="I1" s="19">
        <v>46296</v>
      </c>
      <c r="J1" s="19">
        <v>46327</v>
      </c>
      <c r="K1" s="19">
        <v>46357</v>
      </c>
      <c r="L1" s="19">
        <v>46388</v>
      </c>
      <c r="M1" s="19">
        <v>46419</v>
      </c>
      <c r="N1" s="19">
        <v>46447</v>
      </c>
      <c r="O1" s="19">
        <v>46478</v>
      </c>
      <c r="P1" s="19">
        <v>46508</v>
      </c>
      <c r="Q1" s="19">
        <v>46539</v>
      </c>
      <c r="R1" s="19">
        <v>46569</v>
      </c>
      <c r="S1" s="19">
        <v>46600</v>
      </c>
      <c r="T1" s="19">
        <v>46631</v>
      </c>
      <c r="U1" s="19">
        <v>46661</v>
      </c>
      <c r="V1" s="19">
        <v>46692</v>
      </c>
      <c r="W1" s="19">
        <v>46722</v>
      </c>
      <c r="X1" s="19">
        <v>46753</v>
      </c>
      <c r="Y1" s="19">
        <v>46784</v>
      </c>
      <c r="Z1" s="19">
        <v>46813</v>
      </c>
      <c r="AA1" s="19">
        <v>46844</v>
      </c>
      <c r="AB1" s="19">
        <v>46874</v>
      </c>
      <c r="AC1" s="19">
        <v>46905</v>
      </c>
      <c r="AD1" s="19">
        <v>46935</v>
      </c>
      <c r="AE1" s="19">
        <v>46966</v>
      </c>
      <c r="AF1" s="19">
        <v>46997</v>
      </c>
      <c r="AG1" s="19">
        <v>47027</v>
      </c>
      <c r="AH1" s="19">
        <v>47058</v>
      </c>
      <c r="AI1" s="19">
        <v>47088</v>
      </c>
      <c r="AJ1" s="19">
        <v>47119</v>
      </c>
      <c r="AK1" s="19">
        <v>47150</v>
      </c>
      <c r="AL1" s="19">
        <v>47178</v>
      </c>
      <c r="AM1" s="19">
        <v>47209</v>
      </c>
      <c r="AN1" s="19">
        <v>47239</v>
      </c>
      <c r="AO1" s="19">
        <v>47270</v>
      </c>
      <c r="AP1" s="19">
        <v>47300</v>
      </c>
      <c r="AQ1" s="19">
        <v>47331</v>
      </c>
      <c r="AR1" s="19">
        <v>47362</v>
      </c>
      <c r="AS1" s="19">
        <v>47392</v>
      </c>
      <c r="AT1" s="19">
        <v>47423</v>
      </c>
      <c r="AU1" s="19">
        <v>47453</v>
      </c>
      <c r="AV1" s="19">
        <v>47484</v>
      </c>
      <c r="AW1" s="19">
        <v>47515</v>
      </c>
      <c r="AX1" s="19">
        <v>47543</v>
      </c>
      <c r="AY1" s="19">
        <v>47574</v>
      </c>
      <c r="AZ1" s="19">
        <v>47604</v>
      </c>
      <c r="BA1" s="19">
        <v>47635</v>
      </c>
      <c r="BB1" s="19">
        <v>47665</v>
      </c>
      <c r="BC1" s="20" t="s">
        <v>26</v>
      </c>
    </row>
    <row r="2" spans="1:55" x14ac:dyDescent="0.25">
      <c r="A2" s="41" t="s">
        <v>27</v>
      </c>
      <c r="B2" s="42" t="s">
        <v>42</v>
      </c>
      <c r="C2" s="42">
        <v>756</v>
      </c>
      <c r="D2" s="42">
        <v>3054</v>
      </c>
      <c r="E2" s="42" t="s">
        <v>61</v>
      </c>
      <c r="F2" s="42" t="s">
        <v>62</v>
      </c>
      <c r="G2" s="43">
        <v>0</v>
      </c>
      <c r="H2" s="43">
        <v>0</v>
      </c>
      <c r="I2" s="43">
        <v>116666.66</v>
      </c>
      <c r="J2" s="43">
        <v>0</v>
      </c>
      <c r="K2" s="43">
        <v>116666.66</v>
      </c>
      <c r="L2" s="43">
        <v>0</v>
      </c>
      <c r="M2" s="43">
        <v>116666.66</v>
      </c>
      <c r="N2" s="43">
        <v>0</v>
      </c>
      <c r="O2" s="43">
        <v>116666.66</v>
      </c>
      <c r="P2" s="43">
        <v>0</v>
      </c>
      <c r="Q2" s="43">
        <v>116666.66</v>
      </c>
      <c r="R2" s="43">
        <v>0</v>
      </c>
      <c r="S2" s="43">
        <v>116666.66</v>
      </c>
      <c r="T2" s="43">
        <v>0</v>
      </c>
      <c r="U2" s="43">
        <v>116666.74</v>
      </c>
      <c r="V2" s="43">
        <v>0</v>
      </c>
      <c r="W2" s="43">
        <v>0</v>
      </c>
      <c r="X2" s="43">
        <v>0</v>
      </c>
      <c r="Y2" s="43">
        <v>0</v>
      </c>
      <c r="Z2" s="43">
        <v>0</v>
      </c>
      <c r="AA2" s="43">
        <v>0</v>
      </c>
      <c r="AB2" s="43">
        <v>0</v>
      </c>
      <c r="AC2" s="43">
        <v>0</v>
      </c>
      <c r="AD2" s="43">
        <v>0</v>
      </c>
      <c r="AE2" s="43">
        <v>0</v>
      </c>
      <c r="AF2" s="43">
        <v>0</v>
      </c>
      <c r="AG2" s="43">
        <v>0</v>
      </c>
      <c r="AH2" s="43">
        <v>0</v>
      </c>
      <c r="AI2" s="43">
        <v>0</v>
      </c>
      <c r="AJ2" s="43">
        <v>0</v>
      </c>
      <c r="AK2" s="43">
        <v>0</v>
      </c>
      <c r="AL2" s="43">
        <v>0</v>
      </c>
      <c r="AM2" s="43">
        <v>0</v>
      </c>
      <c r="AN2" s="43">
        <v>0</v>
      </c>
      <c r="AO2" s="43">
        <v>0</v>
      </c>
      <c r="AP2" s="43">
        <v>0</v>
      </c>
      <c r="AQ2" s="43">
        <v>0</v>
      </c>
      <c r="AR2" s="43">
        <v>0</v>
      </c>
      <c r="AS2" s="43">
        <v>0</v>
      </c>
      <c r="AT2" s="43">
        <v>0</v>
      </c>
      <c r="AU2" s="43">
        <v>0</v>
      </c>
      <c r="AV2" s="43">
        <v>0</v>
      </c>
      <c r="AW2" s="43">
        <v>0</v>
      </c>
      <c r="AX2" s="43">
        <v>0</v>
      </c>
      <c r="AY2" s="43">
        <v>0</v>
      </c>
      <c r="AZ2" s="43">
        <v>0</v>
      </c>
      <c r="BA2" s="43">
        <v>0</v>
      </c>
      <c r="BB2" s="43">
        <v>0</v>
      </c>
      <c r="BC2" s="44">
        <f>SUM(H2:BB2)</f>
        <v>816666.70000000007</v>
      </c>
    </row>
    <row r="3" spans="1:55" x14ac:dyDescent="0.25">
      <c r="A3" s="45" t="s">
        <v>28</v>
      </c>
      <c r="B3" s="46" t="s">
        <v>44</v>
      </c>
      <c r="C3" s="46">
        <v>33</v>
      </c>
      <c r="D3" s="46">
        <v>1181</v>
      </c>
      <c r="E3" s="46" t="s">
        <v>43</v>
      </c>
      <c r="F3" s="46" t="s">
        <v>68</v>
      </c>
      <c r="G3" s="47">
        <v>0</v>
      </c>
      <c r="H3" s="47">
        <v>351670.07</v>
      </c>
      <c r="I3" s="47">
        <v>351670.07</v>
      </c>
      <c r="J3" s="47">
        <v>351670.07</v>
      </c>
      <c r="K3" s="47">
        <v>39759.760000000002</v>
      </c>
      <c r="L3" s="47">
        <v>39784.26</v>
      </c>
      <c r="M3" s="47">
        <v>37458.17</v>
      </c>
      <c r="N3" s="47">
        <v>23287.34</v>
      </c>
      <c r="O3" s="39">
        <v>21678.07</v>
      </c>
      <c r="P3" s="39">
        <v>7524.68</v>
      </c>
      <c r="Q3" s="39">
        <v>7524.68</v>
      </c>
      <c r="R3" s="39">
        <v>7524.68</v>
      </c>
      <c r="S3" s="39">
        <v>7524.68</v>
      </c>
      <c r="T3" s="39">
        <v>4841.8999999999996</v>
      </c>
      <c r="U3" s="39">
        <v>4841.8999999999996</v>
      </c>
      <c r="V3" s="39">
        <v>4841.8999999999996</v>
      </c>
      <c r="W3" s="39">
        <v>4841.8999999999996</v>
      </c>
      <c r="X3" s="39">
        <v>2367.79</v>
      </c>
      <c r="Y3" s="39">
        <v>0</v>
      </c>
      <c r="Z3" s="39">
        <v>0</v>
      </c>
      <c r="AA3" s="39">
        <v>0</v>
      </c>
      <c r="AB3" s="39">
        <v>0</v>
      </c>
      <c r="AC3" s="39">
        <v>0</v>
      </c>
      <c r="AD3" s="39">
        <v>0</v>
      </c>
      <c r="AE3" s="39">
        <v>0</v>
      </c>
      <c r="AF3" s="39">
        <v>0</v>
      </c>
      <c r="AG3" s="39">
        <v>0</v>
      </c>
      <c r="AH3" s="39">
        <v>0</v>
      </c>
      <c r="AI3" s="39">
        <v>0</v>
      </c>
      <c r="AJ3" s="39">
        <v>0</v>
      </c>
      <c r="AK3" s="39">
        <v>0</v>
      </c>
      <c r="AL3" s="39">
        <v>0</v>
      </c>
      <c r="AM3" s="39">
        <v>0</v>
      </c>
      <c r="AN3" s="39">
        <v>0</v>
      </c>
      <c r="AO3" s="39">
        <v>0</v>
      </c>
      <c r="AP3" s="39">
        <v>0</v>
      </c>
      <c r="AQ3" s="39">
        <v>0</v>
      </c>
      <c r="AR3" s="39">
        <v>0</v>
      </c>
      <c r="AS3" s="39">
        <v>0</v>
      </c>
      <c r="AT3" s="39">
        <v>0</v>
      </c>
      <c r="AU3" s="39">
        <v>0</v>
      </c>
      <c r="AV3" s="39">
        <v>0</v>
      </c>
      <c r="AW3" s="39">
        <v>0</v>
      </c>
      <c r="AX3" s="39">
        <v>0</v>
      </c>
      <c r="AY3" s="39">
        <v>0</v>
      </c>
      <c r="AZ3" s="39">
        <v>0</v>
      </c>
      <c r="BA3" s="39">
        <v>0</v>
      </c>
      <c r="BB3" s="39">
        <v>0</v>
      </c>
      <c r="BC3" s="40">
        <f t="shared" ref="BC3:BC12" si="0">SUM(H3:BB3)</f>
        <v>1268811.9199999995</v>
      </c>
    </row>
    <row r="4" spans="1:55" x14ac:dyDescent="0.25">
      <c r="A4" s="18" t="s">
        <v>29</v>
      </c>
      <c r="B4" s="33" t="s">
        <v>49</v>
      </c>
      <c r="C4" s="33">
        <v>1</v>
      </c>
      <c r="D4" s="33">
        <v>221</v>
      </c>
      <c r="E4" s="33" t="s">
        <v>54</v>
      </c>
      <c r="F4" s="33" t="s">
        <v>63</v>
      </c>
      <c r="G4" s="39">
        <v>0</v>
      </c>
      <c r="H4" s="39">
        <v>1190.07</v>
      </c>
      <c r="I4" s="39">
        <v>1190.07</v>
      </c>
      <c r="J4" s="39">
        <v>1190.07</v>
      </c>
      <c r="K4" s="39">
        <v>1190.07</v>
      </c>
      <c r="L4" s="39">
        <v>1190.07</v>
      </c>
      <c r="M4" s="39">
        <v>1190.07</v>
      </c>
      <c r="N4" s="39">
        <v>1190.07</v>
      </c>
      <c r="O4" s="39">
        <v>1190.07</v>
      </c>
      <c r="P4" s="39">
        <v>1190.07</v>
      </c>
      <c r="Q4" s="39">
        <v>1190.07</v>
      </c>
      <c r="R4" s="39">
        <v>1190.07</v>
      </c>
      <c r="S4" s="39">
        <v>1190.07</v>
      </c>
      <c r="T4" s="39">
        <v>1190.07</v>
      </c>
      <c r="U4" s="39">
        <v>1190.07</v>
      </c>
      <c r="V4" s="39">
        <v>1190.07</v>
      </c>
      <c r="W4" s="39">
        <v>1190.07</v>
      </c>
      <c r="X4" s="39">
        <v>1190.07</v>
      </c>
      <c r="Y4" s="39">
        <v>1190.07</v>
      </c>
      <c r="Z4" s="39">
        <v>1190.07</v>
      </c>
      <c r="AA4" s="39">
        <v>1190.07</v>
      </c>
      <c r="AB4" s="39">
        <v>0</v>
      </c>
      <c r="AC4" s="39">
        <v>0</v>
      </c>
      <c r="AD4" s="39">
        <v>0</v>
      </c>
      <c r="AE4" s="39">
        <v>0</v>
      </c>
      <c r="AF4" s="39">
        <v>0</v>
      </c>
      <c r="AG4" s="39">
        <v>0</v>
      </c>
      <c r="AH4" s="39">
        <v>0</v>
      </c>
      <c r="AI4" s="39">
        <v>0</v>
      </c>
      <c r="AJ4" s="39">
        <v>0</v>
      </c>
      <c r="AK4" s="39">
        <v>0</v>
      </c>
      <c r="AL4" s="39">
        <v>0</v>
      </c>
      <c r="AM4" s="39">
        <v>0</v>
      </c>
      <c r="AN4" s="39">
        <v>0</v>
      </c>
      <c r="AO4" s="39">
        <v>0</v>
      </c>
      <c r="AP4" s="39">
        <v>0</v>
      </c>
      <c r="AQ4" s="39">
        <v>0</v>
      </c>
      <c r="AR4" s="39">
        <v>0</v>
      </c>
      <c r="AS4" s="39">
        <v>0</v>
      </c>
      <c r="AT4" s="39">
        <v>0</v>
      </c>
      <c r="AU4" s="39">
        <v>0</v>
      </c>
      <c r="AV4" s="39">
        <v>0</v>
      </c>
      <c r="AW4" s="39">
        <v>0</v>
      </c>
      <c r="AX4" s="39">
        <v>0</v>
      </c>
      <c r="AY4" s="39">
        <v>0</v>
      </c>
      <c r="AZ4" s="39">
        <v>0</v>
      </c>
      <c r="BA4" s="39">
        <v>0</v>
      </c>
      <c r="BB4" s="39">
        <v>0</v>
      </c>
      <c r="BC4" s="40">
        <f t="shared" si="0"/>
        <v>23801.399999999998</v>
      </c>
    </row>
    <row r="5" spans="1:55" x14ac:dyDescent="0.25">
      <c r="A5" s="18"/>
      <c r="B5" s="33" t="s">
        <v>50</v>
      </c>
      <c r="C5" s="33">
        <v>756</v>
      </c>
      <c r="D5" s="33">
        <v>4033</v>
      </c>
      <c r="E5" s="33" t="s">
        <v>55</v>
      </c>
      <c r="F5" s="33" t="s">
        <v>64</v>
      </c>
      <c r="G5" s="39">
        <v>0</v>
      </c>
      <c r="H5" s="39">
        <v>22376.07</v>
      </c>
      <c r="I5" s="39">
        <v>22376.07</v>
      </c>
      <c r="J5" s="39">
        <v>22376.07</v>
      </c>
      <c r="K5" s="39">
        <v>22376.07</v>
      </c>
      <c r="L5" s="39">
        <v>22376.07</v>
      </c>
      <c r="M5" s="39">
        <v>22376.07</v>
      </c>
      <c r="N5" s="39">
        <v>22376.07</v>
      </c>
      <c r="O5" s="39">
        <v>22376.07</v>
      </c>
      <c r="P5" s="39">
        <v>22376.07</v>
      </c>
      <c r="Q5" s="39">
        <v>22376.07</v>
      </c>
      <c r="R5" s="39">
        <v>22376.07</v>
      </c>
      <c r="S5" s="39">
        <v>22376.07</v>
      </c>
      <c r="T5" s="39">
        <v>22376.07</v>
      </c>
      <c r="U5" s="39">
        <v>22376.07</v>
      </c>
      <c r="V5" s="39">
        <v>22376.07</v>
      </c>
      <c r="W5" s="39">
        <v>22376.07</v>
      </c>
      <c r="X5" s="39">
        <v>22376.07</v>
      </c>
      <c r="Y5" s="39">
        <v>22376.07</v>
      </c>
      <c r="Z5" s="39">
        <v>22376.07</v>
      </c>
      <c r="AA5" s="39">
        <v>22376.07</v>
      </c>
      <c r="AB5" s="39">
        <v>0</v>
      </c>
      <c r="AC5" s="39">
        <v>0</v>
      </c>
      <c r="AD5" s="39">
        <v>0</v>
      </c>
      <c r="AE5" s="39">
        <v>0</v>
      </c>
      <c r="AF5" s="39">
        <v>0</v>
      </c>
      <c r="AG5" s="39">
        <v>0</v>
      </c>
      <c r="AH5" s="39">
        <v>0</v>
      </c>
      <c r="AI5" s="39">
        <v>0</v>
      </c>
      <c r="AJ5" s="39">
        <v>0</v>
      </c>
      <c r="AK5" s="39">
        <v>0</v>
      </c>
      <c r="AL5" s="39">
        <v>0</v>
      </c>
      <c r="AM5" s="39">
        <v>0</v>
      </c>
      <c r="AN5" s="39">
        <v>0</v>
      </c>
      <c r="AO5" s="39">
        <v>0</v>
      </c>
      <c r="AP5" s="39">
        <v>0</v>
      </c>
      <c r="AQ5" s="39">
        <v>0</v>
      </c>
      <c r="AR5" s="39">
        <v>0</v>
      </c>
      <c r="AS5" s="39">
        <v>0</v>
      </c>
      <c r="AT5" s="39">
        <v>0</v>
      </c>
      <c r="AU5" s="39">
        <v>0</v>
      </c>
      <c r="AV5" s="39">
        <v>0</v>
      </c>
      <c r="AW5" s="39">
        <v>0</v>
      </c>
      <c r="AX5" s="39">
        <v>0</v>
      </c>
      <c r="AY5" s="39">
        <v>0</v>
      </c>
      <c r="AZ5" s="39">
        <v>0</v>
      </c>
      <c r="BA5" s="39">
        <v>0</v>
      </c>
      <c r="BB5" s="39">
        <v>0</v>
      </c>
      <c r="BC5" s="40">
        <f t="shared" si="0"/>
        <v>447521.40000000008</v>
      </c>
    </row>
    <row r="6" spans="1:55" x14ac:dyDescent="0.25">
      <c r="A6" s="18"/>
      <c r="B6" s="33" t="s">
        <v>51</v>
      </c>
      <c r="C6" s="33">
        <v>748</v>
      </c>
      <c r="D6" s="33">
        <v>3953</v>
      </c>
      <c r="E6" s="33" t="s">
        <v>56</v>
      </c>
      <c r="F6" s="33" t="s">
        <v>65</v>
      </c>
      <c r="G6" s="39">
        <v>0</v>
      </c>
      <c r="H6" s="39">
        <v>10710.64</v>
      </c>
      <c r="I6" s="39">
        <v>10710.64</v>
      </c>
      <c r="J6" s="39">
        <v>10710.64</v>
      </c>
      <c r="K6" s="39">
        <v>10710.64</v>
      </c>
      <c r="L6" s="39">
        <v>10710.64</v>
      </c>
      <c r="M6" s="39">
        <v>10710.64</v>
      </c>
      <c r="N6" s="39">
        <v>10710.64</v>
      </c>
      <c r="O6" s="39">
        <v>10710.64</v>
      </c>
      <c r="P6" s="39">
        <v>10710.64</v>
      </c>
      <c r="Q6" s="39">
        <v>10710.64</v>
      </c>
      <c r="R6" s="39">
        <v>10710.64</v>
      </c>
      <c r="S6" s="39">
        <v>10710.64</v>
      </c>
      <c r="T6" s="39">
        <v>10710.64</v>
      </c>
      <c r="U6" s="39">
        <v>10710.64</v>
      </c>
      <c r="V6" s="39">
        <v>10710.64</v>
      </c>
      <c r="W6" s="39">
        <v>10710.64</v>
      </c>
      <c r="X6" s="39">
        <v>10710.64</v>
      </c>
      <c r="Y6" s="39">
        <v>10710.64</v>
      </c>
      <c r="Z6" s="39">
        <v>10710.64</v>
      </c>
      <c r="AA6" s="39">
        <v>10710.64</v>
      </c>
      <c r="AB6" s="39">
        <v>0</v>
      </c>
      <c r="AC6" s="39">
        <v>0</v>
      </c>
      <c r="AD6" s="39">
        <v>0</v>
      </c>
      <c r="AE6" s="39">
        <v>0</v>
      </c>
      <c r="AF6" s="39">
        <v>0</v>
      </c>
      <c r="AG6" s="39">
        <v>0</v>
      </c>
      <c r="AH6" s="39">
        <v>0</v>
      </c>
      <c r="AI6" s="39">
        <v>0</v>
      </c>
      <c r="AJ6" s="39">
        <v>0</v>
      </c>
      <c r="AK6" s="39">
        <v>0</v>
      </c>
      <c r="AL6" s="39">
        <v>0</v>
      </c>
      <c r="AM6" s="39">
        <v>0</v>
      </c>
      <c r="AN6" s="39">
        <v>0</v>
      </c>
      <c r="AO6" s="39">
        <v>0</v>
      </c>
      <c r="AP6" s="39">
        <v>0</v>
      </c>
      <c r="AQ6" s="39">
        <v>0</v>
      </c>
      <c r="AR6" s="39">
        <v>0</v>
      </c>
      <c r="AS6" s="39">
        <v>0</v>
      </c>
      <c r="AT6" s="39">
        <v>0</v>
      </c>
      <c r="AU6" s="39">
        <v>0</v>
      </c>
      <c r="AV6" s="39">
        <v>0</v>
      </c>
      <c r="AW6" s="39">
        <v>0</v>
      </c>
      <c r="AX6" s="39">
        <v>0</v>
      </c>
      <c r="AY6" s="39">
        <v>0</v>
      </c>
      <c r="AZ6" s="39">
        <v>0</v>
      </c>
      <c r="BA6" s="39">
        <v>0</v>
      </c>
      <c r="BB6" s="39">
        <v>0</v>
      </c>
      <c r="BC6" s="40">
        <f t="shared" si="0"/>
        <v>214212.8000000001</v>
      </c>
    </row>
    <row r="7" spans="1:55" x14ac:dyDescent="0.25">
      <c r="A7" s="18"/>
      <c r="B7" s="33" t="s">
        <v>52</v>
      </c>
      <c r="C7" s="33">
        <v>237</v>
      </c>
      <c r="D7" s="33">
        <v>987</v>
      </c>
      <c r="E7" s="33" t="s">
        <v>57</v>
      </c>
      <c r="F7" s="33" t="s">
        <v>66</v>
      </c>
      <c r="G7" s="39">
        <v>0</v>
      </c>
      <c r="H7" s="39">
        <v>23648.84</v>
      </c>
      <c r="I7" s="39">
        <v>23648.84</v>
      </c>
      <c r="J7" s="39">
        <v>23648.84</v>
      </c>
      <c r="K7" s="39">
        <v>23648.84</v>
      </c>
      <c r="L7" s="39">
        <v>23648.84</v>
      </c>
      <c r="M7" s="39">
        <v>23648.84</v>
      </c>
      <c r="N7" s="39">
        <v>23648.84</v>
      </c>
      <c r="O7" s="39">
        <v>23648.84</v>
      </c>
      <c r="P7" s="39">
        <v>23648.84</v>
      </c>
      <c r="Q7" s="39">
        <v>23648.84</v>
      </c>
      <c r="R7" s="39">
        <v>23648.84</v>
      </c>
      <c r="S7" s="39">
        <v>23648.84</v>
      </c>
      <c r="T7" s="39">
        <v>23648.84</v>
      </c>
      <c r="U7" s="39">
        <v>23648.84</v>
      </c>
      <c r="V7" s="39">
        <v>23648.84</v>
      </c>
      <c r="W7" s="39">
        <v>23648.84</v>
      </c>
      <c r="X7" s="39">
        <v>23648.84</v>
      </c>
      <c r="Y7" s="39">
        <v>23648.84</v>
      </c>
      <c r="Z7" s="39">
        <v>23648.84</v>
      </c>
      <c r="AA7" s="39">
        <v>23648.84</v>
      </c>
      <c r="AB7" s="39">
        <v>0</v>
      </c>
      <c r="AC7" s="39">
        <v>0</v>
      </c>
      <c r="AD7" s="39">
        <v>0</v>
      </c>
      <c r="AE7" s="39">
        <v>0</v>
      </c>
      <c r="AF7" s="39">
        <v>0</v>
      </c>
      <c r="AG7" s="39">
        <v>0</v>
      </c>
      <c r="AH7" s="39">
        <v>0</v>
      </c>
      <c r="AI7" s="39">
        <v>0</v>
      </c>
      <c r="AJ7" s="39">
        <v>0</v>
      </c>
      <c r="AK7" s="39">
        <v>0</v>
      </c>
      <c r="AL7" s="39">
        <v>0</v>
      </c>
      <c r="AM7" s="39">
        <v>0</v>
      </c>
      <c r="AN7" s="39">
        <v>0</v>
      </c>
      <c r="AO7" s="39">
        <v>0</v>
      </c>
      <c r="AP7" s="39">
        <v>0</v>
      </c>
      <c r="AQ7" s="39">
        <v>0</v>
      </c>
      <c r="AR7" s="39">
        <v>0</v>
      </c>
      <c r="AS7" s="39">
        <v>0</v>
      </c>
      <c r="AT7" s="39">
        <v>0</v>
      </c>
      <c r="AU7" s="39">
        <v>0</v>
      </c>
      <c r="AV7" s="39">
        <v>0</v>
      </c>
      <c r="AW7" s="39">
        <v>0</v>
      </c>
      <c r="AX7" s="39">
        <v>0</v>
      </c>
      <c r="AY7" s="39">
        <v>0</v>
      </c>
      <c r="AZ7" s="39">
        <v>0</v>
      </c>
      <c r="BA7" s="39">
        <v>0</v>
      </c>
      <c r="BB7" s="39">
        <v>0</v>
      </c>
      <c r="BC7" s="40">
        <f t="shared" si="0"/>
        <v>472976.80000000022</v>
      </c>
    </row>
    <row r="8" spans="1:55" x14ac:dyDescent="0.25">
      <c r="A8" s="41"/>
      <c r="B8" s="42" t="s">
        <v>53</v>
      </c>
      <c r="C8" s="42">
        <v>756</v>
      </c>
      <c r="D8" s="42">
        <v>3179</v>
      </c>
      <c r="E8" s="42" t="s">
        <v>58</v>
      </c>
      <c r="F8" s="42" t="s">
        <v>67</v>
      </c>
      <c r="G8" s="39">
        <v>0</v>
      </c>
      <c r="H8" s="39">
        <v>22376.07</v>
      </c>
      <c r="I8" s="39">
        <v>22376.07</v>
      </c>
      <c r="J8" s="39">
        <v>22376.07</v>
      </c>
      <c r="K8" s="39">
        <v>22376.07</v>
      </c>
      <c r="L8" s="39">
        <v>22376.07</v>
      </c>
      <c r="M8" s="39">
        <v>22376.07</v>
      </c>
      <c r="N8" s="39">
        <v>22376.07</v>
      </c>
      <c r="O8" s="39">
        <v>22376.07</v>
      </c>
      <c r="P8" s="39">
        <v>22376.07</v>
      </c>
      <c r="Q8" s="39">
        <v>22376.07</v>
      </c>
      <c r="R8" s="39">
        <v>22376.07</v>
      </c>
      <c r="S8" s="39">
        <v>22376.07</v>
      </c>
      <c r="T8" s="39">
        <v>22376.07</v>
      </c>
      <c r="U8" s="39">
        <v>22376.07</v>
      </c>
      <c r="V8" s="39">
        <v>22376.07</v>
      </c>
      <c r="W8" s="39">
        <v>22376.07</v>
      </c>
      <c r="X8" s="39">
        <v>22376.07</v>
      </c>
      <c r="Y8" s="39">
        <v>22376.07</v>
      </c>
      <c r="Z8" s="39">
        <v>22376.07</v>
      </c>
      <c r="AA8" s="39">
        <v>22376.07</v>
      </c>
      <c r="AB8" s="39">
        <v>0</v>
      </c>
      <c r="AC8" s="39">
        <v>0</v>
      </c>
      <c r="AD8" s="39">
        <v>0</v>
      </c>
      <c r="AE8" s="39">
        <v>0</v>
      </c>
      <c r="AF8" s="39">
        <v>0</v>
      </c>
      <c r="AG8" s="39">
        <v>0</v>
      </c>
      <c r="AH8" s="39">
        <v>0</v>
      </c>
      <c r="AI8" s="39">
        <v>0</v>
      </c>
      <c r="AJ8" s="39">
        <v>0</v>
      </c>
      <c r="AK8" s="39">
        <v>0</v>
      </c>
      <c r="AL8" s="39">
        <v>0</v>
      </c>
      <c r="AM8" s="39">
        <v>0</v>
      </c>
      <c r="AN8" s="39">
        <v>0</v>
      </c>
      <c r="AO8" s="39">
        <v>0</v>
      </c>
      <c r="AP8" s="39">
        <v>0</v>
      </c>
      <c r="AQ8" s="39">
        <v>0</v>
      </c>
      <c r="AR8" s="39">
        <v>0</v>
      </c>
      <c r="AS8" s="39">
        <v>0</v>
      </c>
      <c r="AT8" s="39">
        <v>0</v>
      </c>
      <c r="AU8" s="39">
        <v>0</v>
      </c>
      <c r="AV8" s="39">
        <v>0</v>
      </c>
      <c r="AW8" s="39">
        <v>0</v>
      </c>
      <c r="AX8" s="39">
        <v>0</v>
      </c>
      <c r="AY8" s="39">
        <v>0</v>
      </c>
      <c r="AZ8" s="39">
        <v>0</v>
      </c>
      <c r="BA8" s="39">
        <v>0</v>
      </c>
      <c r="BB8" s="39">
        <v>0</v>
      </c>
      <c r="BC8" s="40">
        <f t="shared" si="0"/>
        <v>447521.40000000008</v>
      </c>
    </row>
    <row r="9" spans="1:55" x14ac:dyDescent="0.25">
      <c r="A9" s="18" t="s">
        <v>30</v>
      </c>
      <c r="B9" s="33" t="s">
        <v>30</v>
      </c>
      <c r="C9" s="33">
        <v>748</v>
      </c>
      <c r="D9" s="33">
        <v>3953</v>
      </c>
      <c r="E9" s="33" t="s">
        <v>60</v>
      </c>
      <c r="F9" s="33" t="s">
        <v>69</v>
      </c>
      <c r="G9" s="39">
        <v>0</v>
      </c>
      <c r="H9" s="39">
        <v>245737.9</v>
      </c>
      <c r="I9" s="39">
        <v>245737.9</v>
      </c>
      <c r="J9" s="39">
        <v>245737.9</v>
      </c>
      <c r="K9" s="39">
        <v>245737.9</v>
      </c>
      <c r="L9" s="39">
        <v>245737.9</v>
      </c>
      <c r="M9" s="39">
        <v>245737.9</v>
      </c>
      <c r="N9" s="39">
        <v>245737.9</v>
      </c>
      <c r="O9" s="39">
        <v>245737.9</v>
      </c>
      <c r="P9" s="39">
        <v>0</v>
      </c>
      <c r="Q9" s="39">
        <v>0</v>
      </c>
      <c r="R9" s="39">
        <v>0</v>
      </c>
      <c r="S9" s="39">
        <v>0</v>
      </c>
      <c r="T9" s="39">
        <v>0</v>
      </c>
      <c r="U9" s="39">
        <v>0</v>
      </c>
      <c r="V9" s="39">
        <v>0</v>
      </c>
      <c r="W9" s="39">
        <v>0</v>
      </c>
      <c r="X9" s="39">
        <v>0</v>
      </c>
      <c r="Y9" s="39">
        <v>0</v>
      </c>
      <c r="Z9" s="39">
        <v>0</v>
      </c>
      <c r="AA9" s="39">
        <v>0</v>
      </c>
      <c r="AB9" s="39">
        <v>0</v>
      </c>
      <c r="AC9" s="39">
        <v>0</v>
      </c>
      <c r="AD9" s="39">
        <v>0</v>
      </c>
      <c r="AE9" s="39">
        <v>0</v>
      </c>
      <c r="AF9" s="39">
        <v>0</v>
      </c>
      <c r="AG9" s="39">
        <v>0</v>
      </c>
      <c r="AH9" s="39">
        <v>0</v>
      </c>
      <c r="AI9" s="39">
        <v>0</v>
      </c>
      <c r="AJ9" s="39">
        <v>0</v>
      </c>
      <c r="AK9" s="39">
        <v>0</v>
      </c>
      <c r="AL9" s="39">
        <v>0</v>
      </c>
      <c r="AM9" s="39">
        <v>0</v>
      </c>
      <c r="AN9" s="39">
        <v>0</v>
      </c>
      <c r="AO9" s="39">
        <v>0</v>
      </c>
      <c r="AP9" s="39">
        <v>0</v>
      </c>
      <c r="AQ9" s="39">
        <v>0</v>
      </c>
      <c r="AR9" s="39">
        <v>0</v>
      </c>
      <c r="AS9" s="39">
        <v>0</v>
      </c>
      <c r="AT9" s="39">
        <v>0</v>
      </c>
      <c r="AU9" s="39">
        <v>0</v>
      </c>
      <c r="AV9" s="39">
        <v>0</v>
      </c>
      <c r="AW9" s="39">
        <v>0</v>
      </c>
      <c r="AX9" s="39">
        <v>0</v>
      </c>
      <c r="AY9" s="39">
        <v>0</v>
      </c>
      <c r="AZ9" s="39">
        <v>0</v>
      </c>
      <c r="BA9" s="39">
        <v>0</v>
      </c>
      <c r="BB9" s="39">
        <v>0</v>
      </c>
      <c r="BC9" s="40">
        <f t="shared" si="0"/>
        <v>1965903.1999999997</v>
      </c>
    </row>
    <row r="10" spans="1:55" x14ac:dyDescent="0.25">
      <c r="A10" s="41"/>
      <c r="B10" s="42" t="s">
        <v>30</v>
      </c>
      <c r="C10" s="42">
        <v>1</v>
      </c>
      <c r="D10" s="42">
        <v>4275</v>
      </c>
      <c r="E10" s="42" t="s">
        <v>59</v>
      </c>
      <c r="F10" s="42" t="s">
        <v>69</v>
      </c>
      <c r="G10" s="39">
        <v>0</v>
      </c>
      <c r="H10" s="39">
        <v>36658.33</v>
      </c>
      <c r="I10" s="39">
        <v>0</v>
      </c>
      <c r="J10" s="39">
        <v>36658.33</v>
      </c>
      <c r="K10" s="39">
        <v>0</v>
      </c>
      <c r="L10" s="39">
        <v>36658.33</v>
      </c>
      <c r="M10" s="39">
        <v>0</v>
      </c>
      <c r="N10" s="39">
        <v>36658.33</v>
      </c>
      <c r="O10" s="39">
        <v>0</v>
      </c>
      <c r="P10" s="39">
        <v>116658.33</v>
      </c>
      <c r="Q10" s="39">
        <v>0</v>
      </c>
      <c r="R10" s="39">
        <v>116658.33</v>
      </c>
      <c r="S10" s="39">
        <v>0</v>
      </c>
      <c r="T10" s="39">
        <v>116658.37</v>
      </c>
      <c r="U10" s="39">
        <v>0</v>
      </c>
      <c r="V10" s="39">
        <v>0</v>
      </c>
      <c r="W10" s="39">
        <v>0</v>
      </c>
      <c r="X10" s="39">
        <v>0</v>
      </c>
      <c r="Y10" s="39">
        <v>0</v>
      </c>
      <c r="Z10" s="39">
        <v>0</v>
      </c>
      <c r="AA10" s="39">
        <v>0</v>
      </c>
      <c r="AB10" s="39">
        <v>0</v>
      </c>
      <c r="AC10" s="39">
        <v>0</v>
      </c>
      <c r="AD10" s="39">
        <v>0</v>
      </c>
      <c r="AE10" s="39">
        <v>0</v>
      </c>
      <c r="AF10" s="39">
        <v>0</v>
      </c>
      <c r="AG10" s="39">
        <v>0</v>
      </c>
      <c r="AH10" s="39">
        <v>0</v>
      </c>
      <c r="AI10" s="39">
        <v>0</v>
      </c>
      <c r="AJ10" s="39">
        <v>0</v>
      </c>
      <c r="AK10" s="39">
        <v>0</v>
      </c>
      <c r="AL10" s="39">
        <v>0</v>
      </c>
      <c r="AM10" s="39">
        <v>0</v>
      </c>
      <c r="AN10" s="39">
        <v>0</v>
      </c>
      <c r="AO10" s="39">
        <v>0</v>
      </c>
      <c r="AP10" s="39">
        <v>0</v>
      </c>
      <c r="AQ10" s="39">
        <v>0</v>
      </c>
      <c r="AR10" s="39">
        <v>0</v>
      </c>
      <c r="AS10" s="39">
        <v>0</v>
      </c>
      <c r="AT10" s="39">
        <v>0</v>
      </c>
      <c r="AU10" s="39">
        <v>0</v>
      </c>
      <c r="AV10" s="39">
        <v>0</v>
      </c>
      <c r="AW10" s="39">
        <v>0</v>
      </c>
      <c r="AX10" s="39">
        <v>0</v>
      </c>
      <c r="AY10" s="39">
        <v>0</v>
      </c>
      <c r="AZ10" s="39">
        <v>0</v>
      </c>
      <c r="BA10" s="39">
        <v>0</v>
      </c>
      <c r="BB10" s="39">
        <v>0</v>
      </c>
      <c r="BC10" s="40">
        <f t="shared" si="0"/>
        <v>496608.35000000003</v>
      </c>
    </row>
    <row r="11" spans="1:55" x14ac:dyDescent="0.25">
      <c r="A11" s="41" t="s">
        <v>31</v>
      </c>
      <c r="B11" s="42" t="s">
        <v>46</v>
      </c>
      <c r="C11" s="42">
        <v>748</v>
      </c>
      <c r="D11" s="42">
        <v>3953</v>
      </c>
      <c r="E11" s="42" t="s">
        <v>45</v>
      </c>
      <c r="F11" s="42" t="s">
        <v>70</v>
      </c>
      <c r="G11" s="43">
        <v>0</v>
      </c>
      <c r="H11" s="39">
        <v>57647.1</v>
      </c>
      <c r="I11" s="39">
        <v>57647.1</v>
      </c>
      <c r="J11" s="39">
        <v>57647.1</v>
      </c>
      <c r="K11" s="39">
        <v>57647.1</v>
      </c>
      <c r="L11" s="39">
        <v>57647.1</v>
      </c>
      <c r="M11" s="39">
        <v>57647.1</v>
      </c>
      <c r="N11" s="39">
        <v>57647.1</v>
      </c>
      <c r="O11" s="39">
        <v>57647.1</v>
      </c>
      <c r="P11" s="39">
        <v>0</v>
      </c>
      <c r="Q11" s="39">
        <v>0</v>
      </c>
      <c r="R11" s="39">
        <v>0</v>
      </c>
      <c r="S11" s="39">
        <v>0</v>
      </c>
      <c r="T11" s="39">
        <v>0</v>
      </c>
      <c r="U11" s="39">
        <v>0</v>
      </c>
      <c r="V11" s="39">
        <v>0</v>
      </c>
      <c r="W11" s="39">
        <v>0</v>
      </c>
      <c r="X11" s="39">
        <v>0</v>
      </c>
      <c r="Y11" s="39">
        <v>0</v>
      </c>
      <c r="Z11" s="39">
        <v>0</v>
      </c>
      <c r="AA11" s="39">
        <v>0</v>
      </c>
      <c r="AB11" s="39">
        <v>0</v>
      </c>
      <c r="AC11" s="39">
        <v>0</v>
      </c>
      <c r="AD11" s="39">
        <v>0</v>
      </c>
      <c r="AE11" s="39">
        <v>0</v>
      </c>
      <c r="AF11" s="39">
        <v>0</v>
      </c>
      <c r="AG11" s="39">
        <v>0</v>
      </c>
      <c r="AH11" s="39">
        <v>0</v>
      </c>
      <c r="AI11" s="39">
        <v>0</v>
      </c>
      <c r="AJ11" s="39">
        <v>0</v>
      </c>
      <c r="AK11" s="39">
        <v>0</v>
      </c>
      <c r="AL11" s="39">
        <v>0</v>
      </c>
      <c r="AM11" s="39">
        <v>0</v>
      </c>
      <c r="AN11" s="39">
        <v>0</v>
      </c>
      <c r="AO11" s="39">
        <v>0</v>
      </c>
      <c r="AP11" s="39">
        <v>0</v>
      </c>
      <c r="AQ11" s="39">
        <v>0</v>
      </c>
      <c r="AR11" s="39">
        <v>0</v>
      </c>
      <c r="AS11" s="39">
        <v>0</v>
      </c>
      <c r="AT11" s="39">
        <v>0</v>
      </c>
      <c r="AU11" s="39">
        <v>0</v>
      </c>
      <c r="AV11" s="39">
        <v>0</v>
      </c>
      <c r="AW11" s="39">
        <v>0</v>
      </c>
      <c r="AX11" s="39">
        <v>0</v>
      </c>
      <c r="AY11" s="39">
        <v>0</v>
      </c>
      <c r="AZ11" s="39">
        <v>0</v>
      </c>
      <c r="BA11" s="39">
        <v>0</v>
      </c>
      <c r="BB11" s="39">
        <v>0</v>
      </c>
      <c r="BC11" s="40">
        <f t="shared" si="0"/>
        <v>461176.79999999993</v>
      </c>
    </row>
    <row r="12" spans="1:55" x14ac:dyDescent="0.25">
      <c r="A12" s="18" t="s">
        <v>32</v>
      </c>
      <c r="B12" s="33" t="s">
        <v>48</v>
      </c>
      <c r="C12" s="33">
        <v>33</v>
      </c>
      <c r="D12" s="33">
        <v>1723</v>
      </c>
      <c r="E12" s="33" t="s">
        <v>47</v>
      </c>
      <c r="F12" s="33" t="s">
        <v>71</v>
      </c>
      <c r="G12" s="39">
        <v>0</v>
      </c>
      <c r="H12" s="39">
        <v>151754.608125</v>
      </c>
      <c r="I12" s="39">
        <v>151754.608125</v>
      </c>
      <c r="J12" s="39">
        <v>151754.608125</v>
      </c>
      <c r="K12" s="39">
        <v>151754.608125</v>
      </c>
      <c r="L12" s="39">
        <v>151754.608125</v>
      </c>
      <c r="M12" s="39">
        <v>151754.608125</v>
      </c>
      <c r="N12" s="39">
        <v>151754.608125</v>
      </c>
      <c r="O12" s="39">
        <v>151754.608125</v>
      </c>
      <c r="P12" s="39">
        <v>151754.608125</v>
      </c>
      <c r="Q12" s="39">
        <v>151754.608125</v>
      </c>
      <c r="R12" s="39">
        <v>151754.608125</v>
      </c>
      <c r="S12" s="39">
        <v>151754.608125</v>
      </c>
      <c r="T12" s="39">
        <v>151754.608125</v>
      </c>
      <c r="U12" s="39">
        <v>151754.608125</v>
      </c>
      <c r="V12" s="39">
        <v>151754.608125</v>
      </c>
      <c r="W12" s="39">
        <v>151754.608125</v>
      </c>
      <c r="X12" s="39">
        <v>151754.608125</v>
      </c>
      <c r="Y12" s="39">
        <v>151754.608125</v>
      </c>
      <c r="Z12" s="39">
        <v>151754.608125</v>
      </c>
      <c r="AA12" s="39">
        <v>151754.608125</v>
      </c>
      <c r="AB12" s="39">
        <v>151754.608125</v>
      </c>
      <c r="AC12" s="39">
        <v>151754.608125</v>
      </c>
      <c r="AD12" s="39">
        <v>151754.608125</v>
      </c>
      <c r="AE12" s="39">
        <v>151754.608125</v>
      </c>
      <c r="AF12" s="39">
        <v>151754.608125</v>
      </c>
      <c r="AG12" s="39">
        <v>151754.608125</v>
      </c>
      <c r="AH12" s="39">
        <v>151754.608125</v>
      </c>
      <c r="AI12" s="39">
        <v>151754.608125</v>
      </c>
      <c r="AJ12" s="39">
        <v>151754.608125</v>
      </c>
      <c r="AK12" s="39">
        <v>151754.608125</v>
      </c>
      <c r="AL12" s="39">
        <v>151754.608125</v>
      </c>
      <c r="AM12" s="39">
        <v>151754.608125</v>
      </c>
      <c r="AN12" s="39">
        <v>151754.608125</v>
      </c>
      <c r="AO12" s="39">
        <v>151754.608125</v>
      </c>
      <c r="AP12" s="39">
        <v>151754.608125</v>
      </c>
      <c r="AQ12" s="39">
        <v>151754.608125</v>
      </c>
      <c r="AR12" s="39">
        <v>151754.608125</v>
      </c>
      <c r="AS12" s="39">
        <v>151754.608125</v>
      </c>
      <c r="AT12" s="39">
        <v>151754.608125</v>
      </c>
      <c r="AU12" s="39">
        <v>151754.608125</v>
      </c>
      <c r="AV12" s="39">
        <v>151754.608125</v>
      </c>
      <c r="AW12" s="39">
        <v>151754.608125</v>
      </c>
      <c r="AX12" s="39">
        <v>151754.608125</v>
      </c>
      <c r="AY12" s="39">
        <v>151754.608125</v>
      </c>
      <c r="AZ12" s="39">
        <v>151754.608125</v>
      </c>
      <c r="BA12" s="39">
        <v>151754.608125</v>
      </c>
      <c r="BB12" s="39">
        <v>151754.608125</v>
      </c>
      <c r="BC12" s="40">
        <f t="shared" si="0"/>
        <v>7132466.581875002</v>
      </c>
    </row>
    <row r="13" spans="1:55" x14ac:dyDescent="0.25">
      <c r="A13" s="22" t="s">
        <v>33</v>
      </c>
      <c r="B13" s="22"/>
      <c r="C13" s="22"/>
      <c r="D13" s="22"/>
      <c r="E13" s="22"/>
      <c r="F13" s="22"/>
      <c r="G13" s="40">
        <f>SUM(G2:G12)</f>
        <v>0</v>
      </c>
      <c r="H13" s="40">
        <f t="shared" ref="H13:BB13" si="1">SUM(H2:H12)</f>
        <v>923769.698125</v>
      </c>
      <c r="I13" s="40">
        <f t="shared" si="1"/>
        <v>1003778.028125</v>
      </c>
      <c r="J13" s="40">
        <f t="shared" si="1"/>
        <v>923769.698125</v>
      </c>
      <c r="K13" s="40">
        <f t="shared" si="1"/>
        <v>691867.71812500001</v>
      </c>
      <c r="L13" s="40">
        <f t="shared" si="1"/>
        <v>611883.88812499994</v>
      </c>
      <c r="M13" s="40">
        <f t="shared" si="1"/>
        <v>689566.12812500005</v>
      </c>
      <c r="N13" s="40">
        <f t="shared" si="1"/>
        <v>595386.96812500001</v>
      </c>
      <c r="O13" s="40">
        <f t="shared" si="1"/>
        <v>673786.02812499995</v>
      </c>
      <c r="P13" s="40">
        <f t="shared" si="1"/>
        <v>356239.30812499998</v>
      </c>
      <c r="Q13" s="40">
        <f t="shared" si="1"/>
        <v>356247.638125</v>
      </c>
      <c r="R13" s="40">
        <f t="shared" si="1"/>
        <v>356239.30812499998</v>
      </c>
      <c r="S13" s="40">
        <f t="shared" si="1"/>
        <v>356247.638125</v>
      </c>
      <c r="T13" s="40">
        <f t="shared" si="1"/>
        <v>353556.56812499999</v>
      </c>
      <c r="U13" s="40">
        <f t="shared" si="1"/>
        <v>353564.93812499999</v>
      </c>
      <c r="V13" s="40">
        <f t="shared" si="1"/>
        <v>236898.198125</v>
      </c>
      <c r="W13" s="40">
        <f t="shared" si="1"/>
        <v>236898.198125</v>
      </c>
      <c r="X13" s="40">
        <f t="shared" si="1"/>
        <v>234424.08812500001</v>
      </c>
      <c r="Y13" s="40">
        <f t="shared" si="1"/>
        <v>232056.298125</v>
      </c>
      <c r="Z13" s="40">
        <f t="shared" si="1"/>
        <v>232056.298125</v>
      </c>
      <c r="AA13" s="40">
        <f t="shared" si="1"/>
        <v>232056.298125</v>
      </c>
      <c r="AB13" s="40">
        <f t="shared" si="1"/>
        <v>151754.608125</v>
      </c>
      <c r="AC13" s="40">
        <f t="shared" si="1"/>
        <v>151754.608125</v>
      </c>
      <c r="AD13" s="40">
        <f t="shared" si="1"/>
        <v>151754.608125</v>
      </c>
      <c r="AE13" s="40">
        <f t="shared" si="1"/>
        <v>151754.608125</v>
      </c>
      <c r="AF13" s="40">
        <f t="shared" si="1"/>
        <v>151754.608125</v>
      </c>
      <c r="AG13" s="40">
        <f t="shared" si="1"/>
        <v>151754.608125</v>
      </c>
      <c r="AH13" s="40">
        <f t="shared" si="1"/>
        <v>151754.608125</v>
      </c>
      <c r="AI13" s="40">
        <f t="shared" si="1"/>
        <v>151754.608125</v>
      </c>
      <c r="AJ13" s="40">
        <f t="shared" si="1"/>
        <v>151754.608125</v>
      </c>
      <c r="AK13" s="40">
        <f t="shared" si="1"/>
        <v>151754.608125</v>
      </c>
      <c r="AL13" s="40">
        <f t="shared" si="1"/>
        <v>151754.608125</v>
      </c>
      <c r="AM13" s="40">
        <f t="shared" si="1"/>
        <v>151754.608125</v>
      </c>
      <c r="AN13" s="40">
        <f t="shared" si="1"/>
        <v>151754.608125</v>
      </c>
      <c r="AO13" s="40">
        <f t="shared" si="1"/>
        <v>151754.608125</v>
      </c>
      <c r="AP13" s="40">
        <f t="shared" si="1"/>
        <v>151754.608125</v>
      </c>
      <c r="AQ13" s="40">
        <f t="shared" si="1"/>
        <v>151754.608125</v>
      </c>
      <c r="AR13" s="40">
        <f t="shared" si="1"/>
        <v>151754.608125</v>
      </c>
      <c r="AS13" s="40">
        <f t="shared" si="1"/>
        <v>151754.608125</v>
      </c>
      <c r="AT13" s="40">
        <f t="shared" si="1"/>
        <v>151754.608125</v>
      </c>
      <c r="AU13" s="40">
        <f t="shared" si="1"/>
        <v>151754.608125</v>
      </c>
      <c r="AV13" s="40">
        <f t="shared" si="1"/>
        <v>151754.608125</v>
      </c>
      <c r="AW13" s="40">
        <f t="shared" si="1"/>
        <v>151754.608125</v>
      </c>
      <c r="AX13" s="40">
        <f t="shared" si="1"/>
        <v>151754.608125</v>
      </c>
      <c r="AY13" s="40">
        <f t="shared" si="1"/>
        <v>151754.608125</v>
      </c>
      <c r="AZ13" s="40">
        <f t="shared" si="1"/>
        <v>151754.608125</v>
      </c>
      <c r="BA13" s="40">
        <f t="shared" si="1"/>
        <v>151754.608125</v>
      </c>
      <c r="BB13" s="40">
        <f t="shared" si="1"/>
        <v>151754.608125</v>
      </c>
      <c r="BC13" s="40">
        <f>SUM(BC2:BC12)</f>
        <v>13747667.351875</v>
      </c>
    </row>
  </sheetData>
  <pageMargins left="0.511811024" right="0.511811024" top="0.78740157499999996" bottom="0.78740157499999996" header="0.31496062000000002" footer="0.31496062000000002"/>
  <ignoredErrors>
    <ignoredError sqref="G13 H13:BC13 BC2:BC1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Simulação Imp-fluxopgto</vt:lpstr>
      <vt:lpstr>Pgto Sellers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Barros</dc:creator>
  <cp:lastModifiedBy>Luciene Martins Pinho</cp:lastModifiedBy>
  <dcterms:created xsi:type="dcterms:W3CDTF">2026-07-15T17:31:52Z</dcterms:created>
  <dcterms:modified xsi:type="dcterms:W3CDTF">2026-07-16T19:38:38Z</dcterms:modified>
</cp:coreProperties>
</file>