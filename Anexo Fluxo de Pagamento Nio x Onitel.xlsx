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ilvio/Downloads/"/>
    </mc:Choice>
  </mc:AlternateContent>
  <xr:revisionPtr revIDLastSave="0" documentId="13_ncr:1_{FC5BF885-AB2C-6A4E-B31A-B3AACA054999}" xr6:coauthVersionLast="47" xr6:coauthVersionMax="47" xr10:uidLastSave="{00000000-0000-0000-0000-000000000000}"/>
  <bookViews>
    <workbookView xWindow="-120" yWindow="580" windowWidth="29040" windowHeight="15160" xr2:uid="{64F40452-A3D8-4C49-BFF5-9F85CDF9315C}"/>
  </bookViews>
  <sheets>
    <sheet name="Fluxo de pagamento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6" i="5" l="1"/>
  <c r="W38" i="5"/>
  <c r="V38" i="5"/>
  <c r="U38" i="5"/>
  <c r="T38" i="5"/>
  <c r="S38" i="5"/>
  <c r="R38" i="5"/>
  <c r="Q38" i="5"/>
  <c r="P38" i="5"/>
  <c r="O38" i="5"/>
  <c r="N38" i="5"/>
  <c r="M38" i="5"/>
  <c r="L38" i="5"/>
  <c r="W37" i="5"/>
  <c r="V37" i="5"/>
  <c r="U37" i="5"/>
  <c r="T37" i="5"/>
  <c r="S37" i="5"/>
  <c r="R37" i="5"/>
  <c r="Q37" i="5"/>
  <c r="P37" i="5"/>
  <c r="O37" i="5"/>
  <c r="N37" i="5"/>
  <c r="M37" i="5"/>
  <c r="L37" i="5"/>
  <c r="W36" i="5"/>
  <c r="V36" i="5"/>
  <c r="U36" i="5"/>
  <c r="T36" i="5"/>
  <c r="S36" i="5"/>
  <c r="R36" i="5"/>
  <c r="Q36" i="5"/>
  <c r="P36" i="5"/>
  <c r="O36" i="5"/>
  <c r="M36" i="5"/>
  <c r="N36" i="5"/>
  <c r="BG25" i="5"/>
  <c r="BF25" i="5"/>
  <c r="BF29" i="5" s="1"/>
  <c r="BE25" i="5"/>
  <c r="BD25" i="5"/>
  <c r="BC25" i="5"/>
  <c r="BB25" i="5"/>
  <c r="BA25" i="5"/>
  <c r="BA29" i="5" s="1"/>
  <c r="AZ25" i="5"/>
  <c r="AZ29" i="5" s="1"/>
  <c r="AY25" i="5"/>
  <c r="AY29" i="5" s="1"/>
  <c r="AX25" i="5"/>
  <c r="AX29" i="5" s="1"/>
  <c r="AW25" i="5"/>
  <c r="AW29" i="5" s="1"/>
  <c r="AV25" i="5"/>
  <c r="AV29" i="5" s="1"/>
  <c r="AU25" i="5"/>
  <c r="AT25" i="5"/>
  <c r="AS25" i="5"/>
  <c r="AR25" i="5"/>
  <c r="AR29" i="5" s="1"/>
  <c r="AQ25" i="5"/>
  <c r="AQ29" i="5" s="1"/>
  <c r="AP25" i="5"/>
  <c r="AP29" i="5" s="1"/>
  <c r="AO25" i="5"/>
  <c r="AO29" i="5" s="1"/>
  <c r="AN25" i="5"/>
  <c r="AN29" i="5" s="1"/>
  <c r="AM25" i="5"/>
  <c r="AM29" i="5" s="1"/>
  <c r="AL25" i="5"/>
  <c r="AL29" i="5" s="1"/>
  <c r="AK25" i="5"/>
  <c r="AK29" i="5" s="1"/>
  <c r="AJ25" i="5"/>
  <c r="AJ29" i="5" s="1"/>
  <c r="AI25" i="5"/>
  <c r="AH25" i="5"/>
  <c r="AG25" i="5"/>
  <c r="AF25" i="5"/>
  <c r="AE25" i="5"/>
  <c r="AE29" i="5" s="1"/>
  <c r="AD25" i="5"/>
  <c r="AD29" i="5" s="1"/>
  <c r="AC25" i="5"/>
  <c r="AC29" i="5" s="1"/>
  <c r="AB25" i="5"/>
  <c r="AB29" i="5" s="1"/>
  <c r="AA25" i="5"/>
  <c r="AA29" i="5" s="1"/>
  <c r="Z25" i="5"/>
  <c r="Z29" i="5" s="1"/>
  <c r="Y25" i="5"/>
  <c r="Y29" i="5" s="1"/>
  <c r="X25" i="5"/>
  <c r="X29" i="5" s="1"/>
  <c r="W25" i="5"/>
  <c r="V25" i="5"/>
  <c r="U25" i="5"/>
  <c r="T25" i="5"/>
  <c r="T29" i="5" s="1"/>
  <c r="S25" i="5"/>
  <c r="S29" i="5" s="1"/>
  <c r="R25" i="5"/>
  <c r="R29" i="5" s="1"/>
  <c r="Q25" i="5"/>
  <c r="Q29" i="5" s="1"/>
  <c r="P25" i="5"/>
  <c r="P29" i="5" s="1"/>
  <c r="O25" i="5"/>
  <c r="O29" i="5" s="1"/>
  <c r="N25" i="5"/>
  <c r="N29" i="5" s="1"/>
  <c r="M25" i="5"/>
  <c r="M29" i="5" s="1"/>
  <c r="L25" i="5"/>
  <c r="L29" i="5" s="1"/>
  <c r="K25" i="5"/>
  <c r="K29" i="5" s="1"/>
  <c r="BG29" i="5"/>
  <c r="BE29" i="5"/>
  <c r="BD29" i="5"/>
  <c r="BC29" i="5"/>
  <c r="BB29" i="5"/>
  <c r="AU29" i="5"/>
  <c r="AT29" i="5"/>
  <c r="AS29" i="5"/>
  <c r="AI29" i="5"/>
  <c r="AH29" i="5"/>
  <c r="AG29" i="5"/>
  <c r="AF29" i="5"/>
  <c r="W29" i="5"/>
  <c r="V29" i="5"/>
  <c r="U29" i="5"/>
  <c r="J27" i="5" l="1"/>
  <c r="J28" i="5"/>
  <c r="J26" i="5"/>
  <c r="J25" i="5"/>
  <c r="J29" i="5" s="1"/>
  <c r="K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L8" i="5"/>
  <c r="BG21" i="5"/>
  <c r="BG23" i="5" s="1"/>
  <c r="BF21" i="5"/>
  <c r="BF23" i="5" s="1"/>
  <c r="BE21" i="5"/>
  <c r="BE23" i="5" s="1"/>
  <c r="BD21" i="5"/>
  <c r="BD23" i="5" s="1"/>
  <c r="BC21" i="5"/>
  <c r="BC23" i="5" s="1"/>
  <c r="BB21" i="5"/>
  <c r="BB23" i="5" s="1"/>
  <c r="BA21" i="5"/>
  <c r="BA23" i="5" s="1"/>
  <c r="AZ21" i="5"/>
  <c r="AZ23" i="5" s="1"/>
  <c r="AY21" i="5"/>
  <c r="AY23" i="5" s="1"/>
  <c r="AX21" i="5"/>
  <c r="AX23" i="5" s="1"/>
  <c r="AW21" i="5"/>
  <c r="AW23" i="5" s="1"/>
  <c r="AV21" i="5"/>
  <c r="AV23" i="5" s="1"/>
  <c r="AU21" i="5"/>
  <c r="AU23" i="5" s="1"/>
  <c r="AT21" i="5"/>
  <c r="AT23" i="5" s="1"/>
  <c r="AS21" i="5"/>
  <c r="AS23" i="5" s="1"/>
  <c r="AR21" i="5"/>
  <c r="AR23" i="5" s="1"/>
  <c r="AQ21" i="5"/>
  <c r="AQ23" i="5" s="1"/>
  <c r="AP21" i="5"/>
  <c r="AP23" i="5" s="1"/>
  <c r="AO21" i="5"/>
  <c r="AO23" i="5" s="1"/>
  <c r="AN21" i="5"/>
  <c r="AN23" i="5" s="1"/>
  <c r="AM21" i="5"/>
  <c r="AM23" i="5" s="1"/>
  <c r="AL21" i="5"/>
  <c r="AL23" i="5" s="1"/>
  <c r="AK21" i="5"/>
  <c r="AK23" i="5" s="1"/>
  <c r="AJ21" i="5"/>
  <c r="AJ23" i="5" s="1"/>
  <c r="AI21" i="5"/>
  <c r="AI23" i="5" s="1"/>
  <c r="AH21" i="5"/>
  <c r="AH23" i="5" s="1"/>
  <c r="AG21" i="5"/>
  <c r="AG23" i="5" s="1"/>
  <c r="AF21" i="5"/>
  <c r="AF23" i="5" s="1"/>
  <c r="AE21" i="5"/>
  <c r="AE23" i="5" s="1"/>
  <c r="AD21" i="5"/>
  <c r="AD23" i="5" s="1"/>
  <c r="AC21" i="5"/>
  <c r="AC23" i="5" s="1"/>
  <c r="AB21" i="5"/>
  <c r="AB23" i="5" s="1"/>
  <c r="AA21" i="5"/>
  <c r="AA23" i="5" s="1"/>
  <c r="Z21" i="5"/>
  <c r="Z23" i="5" s="1"/>
  <c r="Y21" i="5"/>
  <c r="Y23" i="5" s="1"/>
  <c r="X21" i="5"/>
  <c r="X23" i="5" s="1"/>
  <c r="W21" i="5"/>
  <c r="W23" i="5" s="1"/>
  <c r="V21" i="5"/>
  <c r="V23" i="5" s="1"/>
  <c r="U21" i="5"/>
  <c r="U23" i="5" s="1"/>
  <c r="T21" i="5"/>
  <c r="T23" i="5" s="1"/>
  <c r="S21" i="5"/>
  <c r="S23" i="5" s="1"/>
  <c r="R21" i="5"/>
  <c r="R23" i="5" s="1"/>
  <c r="Q21" i="5"/>
  <c r="Q23" i="5" s="1"/>
  <c r="P21" i="5"/>
  <c r="P23" i="5" s="1"/>
  <c r="O21" i="5"/>
  <c r="O23" i="5" s="1"/>
  <c r="N21" i="5"/>
  <c r="N23" i="5" s="1"/>
  <c r="M21" i="5"/>
  <c r="M23" i="5" s="1"/>
  <c r="L21" i="5"/>
  <c r="L23" i="5" s="1"/>
  <c r="K21" i="5"/>
  <c r="K23" i="5" s="1"/>
  <c r="J22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18" i="5"/>
  <c r="J17" i="5"/>
  <c r="J16" i="5"/>
  <c r="J15" i="5"/>
  <c r="J14" i="5"/>
  <c r="J13" i="5"/>
  <c r="J12" i="5"/>
  <c r="J11" i="5"/>
  <c r="J10" i="5"/>
  <c r="J9" i="5"/>
  <c r="M8" i="5"/>
  <c r="J7" i="5"/>
  <c r="L2" i="5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BD2" i="5" s="1"/>
  <c r="BE2" i="5" s="1"/>
  <c r="BF2" i="5" s="1"/>
  <c r="BG2" i="5" s="1"/>
  <c r="L19" i="5" l="1"/>
  <c r="L31" i="5" s="1"/>
  <c r="AW19" i="5"/>
  <c r="AW31" i="5" s="1"/>
  <c r="AZ19" i="5"/>
  <c r="AZ31" i="5" s="1"/>
  <c r="AC19" i="5"/>
  <c r="AC31" i="5" s="1"/>
  <c r="BB19" i="5"/>
  <c r="BB31" i="5" s="1"/>
  <c r="AH19" i="5"/>
  <c r="AH31" i="5" s="1"/>
  <c r="BE19" i="5"/>
  <c r="BE31" i="5" s="1"/>
  <c r="V19" i="5"/>
  <c r="V31" i="5" s="1"/>
  <c r="W19" i="5"/>
  <c r="W31" i="5" s="1"/>
  <c r="BA19" i="5"/>
  <c r="BA31" i="5" s="1"/>
  <c r="BC19" i="5"/>
  <c r="BC31" i="5" s="1"/>
  <c r="U19" i="5"/>
  <c r="U31" i="5" s="1"/>
  <c r="BF19" i="5"/>
  <c r="BF31" i="5" s="1"/>
  <c r="AI19" i="5"/>
  <c r="AI31" i="5" s="1"/>
  <c r="BG19" i="5"/>
  <c r="BG31" i="5" s="1"/>
  <c r="K19" i="5"/>
  <c r="K31" i="5" s="1"/>
  <c r="J21" i="5"/>
  <c r="J23" i="5" s="1"/>
  <c r="M19" i="5"/>
  <c r="M31" i="5" s="1"/>
  <c r="Y19" i="5"/>
  <c r="Y31" i="5" s="1"/>
  <c r="AK19" i="5"/>
  <c r="AK31" i="5" s="1"/>
  <c r="N19" i="5"/>
  <c r="N31" i="5" s="1"/>
  <c r="Z19" i="5"/>
  <c r="Z31" i="5" s="1"/>
  <c r="AL19" i="5"/>
  <c r="AL31" i="5" s="1"/>
  <c r="AX19" i="5"/>
  <c r="AX31" i="5" s="1"/>
  <c r="X19" i="5"/>
  <c r="X31" i="5" s="1"/>
  <c r="AJ19" i="5"/>
  <c r="AJ31" i="5" s="1"/>
  <c r="AV19" i="5"/>
  <c r="AV31" i="5" s="1"/>
  <c r="P19" i="5"/>
  <c r="P31" i="5" s="1"/>
  <c r="AY19" i="5"/>
  <c r="AY31" i="5" s="1"/>
  <c r="AO19" i="5"/>
  <c r="AO31" i="5" s="1"/>
  <c r="O19" i="5"/>
  <c r="O31" i="5" s="1"/>
  <c r="AA19" i="5"/>
  <c r="AA31" i="5" s="1"/>
  <c r="AN19" i="5"/>
  <c r="AN31" i="5" s="1"/>
  <c r="Q19" i="5"/>
  <c r="Q31" i="5" s="1"/>
  <c r="AM19" i="5"/>
  <c r="AM31" i="5" s="1"/>
  <c r="AB19" i="5"/>
  <c r="AB31" i="5" s="1"/>
  <c r="AU19" i="5"/>
  <c r="AU31" i="5" s="1"/>
  <c r="AT19" i="5"/>
  <c r="AT31" i="5" s="1"/>
  <c r="R19" i="5"/>
  <c r="R31" i="5" s="1"/>
  <c r="AQ19" i="5"/>
  <c r="AQ31" i="5" s="1"/>
  <c r="T19" i="5"/>
  <c r="T31" i="5" s="1"/>
  <c r="AF19" i="5"/>
  <c r="AF31" i="5" s="1"/>
  <c r="AR19" i="5"/>
  <c r="AR31" i="5" s="1"/>
  <c r="BD19" i="5"/>
  <c r="BD31" i="5" s="1"/>
  <c r="AP19" i="5"/>
  <c r="AP31" i="5" s="1"/>
  <c r="AE19" i="5"/>
  <c r="AE31" i="5" s="1"/>
  <c r="AG19" i="5"/>
  <c r="AG31" i="5" s="1"/>
  <c r="AD19" i="5"/>
  <c r="AD31" i="5" s="1"/>
  <c r="S19" i="5"/>
  <c r="S31" i="5" s="1"/>
  <c r="AS19" i="5"/>
  <c r="AS31" i="5" s="1"/>
  <c r="J4" i="5"/>
  <c r="J6" i="5"/>
  <c r="J5" i="5"/>
  <c r="J8" i="5"/>
  <c r="J19" i="5" l="1"/>
  <c r="J31" i="5" s="1"/>
  <c r="X32" i="5" l="1"/>
  <c r="AN32" i="5" l="1"/>
  <c r="AR32" i="5"/>
  <c r="AG32" i="5"/>
  <c r="AI32" i="5"/>
  <c r="AS32" i="5"/>
  <c r="R32" i="5"/>
  <c r="AB32" i="5"/>
  <c r="BG32" i="5"/>
  <c r="M32" i="5"/>
  <c r="V32" i="5"/>
  <c r="BF32" i="5"/>
  <c r="S32" i="5"/>
  <c r="AD32" i="5"/>
  <c r="AL32" i="5"/>
  <c r="AU32" i="5"/>
  <c r="AA32" i="5"/>
  <c r="BC32" i="5"/>
  <c r="BE32" i="5"/>
  <c r="AM32" i="5"/>
  <c r="AY32" i="5"/>
  <c r="AF32" i="5"/>
  <c r="W32" i="5"/>
  <c r="BB32" i="5"/>
  <c r="AE32" i="5"/>
  <c r="T32" i="5"/>
  <c r="AO32" i="5"/>
  <c r="Y32" i="5"/>
  <c r="AC32" i="5"/>
  <c r="AX32" i="5"/>
  <c r="AK32" i="5"/>
  <c r="AT32" i="5"/>
  <c r="AP32" i="5"/>
  <c r="P32" i="5"/>
  <c r="BD32" i="5"/>
  <c r="AV32" i="5"/>
  <c r="U32" i="5"/>
  <c r="N32" i="5"/>
  <c r="O32" i="5"/>
  <c r="BA32" i="5"/>
  <c r="L32" i="5"/>
  <c r="AW32" i="5"/>
  <c r="Z32" i="5"/>
  <c r="AH32" i="5"/>
  <c r="AQ32" i="5"/>
  <c r="Q32" i="5"/>
  <c r="K32" i="5"/>
  <c r="AJ32" i="5"/>
  <c r="AZ32" i="5"/>
</calcChain>
</file>

<file path=xl/sharedStrings.xml><?xml version="1.0" encoding="utf-8"?>
<sst xmlns="http://schemas.openxmlformats.org/spreadsheetml/2006/main" count="146" uniqueCount="68">
  <si>
    <t>Total</t>
  </si>
  <si>
    <t>Bsb Internet</t>
  </si>
  <si>
    <t>Cev Fibra Comercio e Servicos de Comunicacao Ltda</t>
  </si>
  <si>
    <t>Hilan Telecom Ltda</t>
  </si>
  <si>
    <t>Interfiber Telecom Ltda</t>
  </si>
  <si>
    <t>Carteira</t>
  </si>
  <si>
    <t>Tipo</t>
  </si>
  <si>
    <t>Geral</t>
  </si>
  <si>
    <t>Ediene Oliveira de Araújo</t>
  </si>
  <si>
    <t>Victor Júlio dos Santos</t>
  </si>
  <si>
    <t>Sandro Gomes de Araújo</t>
  </si>
  <si>
    <t>Pedro Humberto alves Albenaz</t>
  </si>
  <si>
    <t>Nair Soares Gontijo</t>
  </si>
  <si>
    <t>Leao construtora e Serviços</t>
  </si>
  <si>
    <t>51.352.661/0001-17</t>
  </si>
  <si>
    <t>06.283.200/0001-85</t>
  </si>
  <si>
    <t>689.754.811-15</t>
  </si>
  <si>
    <t>186.441.438-32</t>
  </si>
  <si>
    <t>486.011.441-87</t>
  </si>
  <si>
    <t>477.725.496-87</t>
  </si>
  <si>
    <t>013.382.796-88</t>
  </si>
  <si>
    <t>31.390.568/0001-90</t>
  </si>
  <si>
    <t>27.851.023/0001-66</t>
  </si>
  <si>
    <t>Banco</t>
  </si>
  <si>
    <t>Agência</t>
  </si>
  <si>
    <t>Conta</t>
  </si>
  <si>
    <t>BSB INTERNERT</t>
  </si>
  <si>
    <t>31759-4</t>
  </si>
  <si>
    <t>Vec Security Segurança Eletrônica Ltda</t>
  </si>
  <si>
    <t>13008095-8</t>
  </si>
  <si>
    <t>11468-5</t>
  </si>
  <si>
    <t>260013-7</t>
  </si>
  <si>
    <t>33927-0</t>
  </si>
  <si>
    <t>27557-3</t>
  </si>
  <si>
    <t>24864-9</t>
  </si>
  <si>
    <t>118152-1</t>
  </si>
  <si>
    <t>18036-0</t>
  </si>
  <si>
    <t>32184-2</t>
  </si>
  <si>
    <t>IT Investimentos</t>
  </si>
  <si>
    <t>3214-0</t>
  </si>
  <si>
    <t>56768-0</t>
  </si>
  <si>
    <t>10.753.750/0001-98</t>
  </si>
  <si>
    <t>Contrato</t>
  </si>
  <si>
    <t>Cessão</t>
  </si>
  <si>
    <t>Credores</t>
  </si>
  <si>
    <t>Dia de vencimento</t>
  </si>
  <si>
    <t>n.a.</t>
  </si>
  <si>
    <t>CPF / CNPJ</t>
  </si>
  <si>
    <t>Onitel Telecom</t>
  </si>
  <si>
    <t>26.117.079/0001-29</t>
  </si>
  <si>
    <t>38.404.347/0001-72</t>
  </si>
  <si>
    <t>Onitel Serviços</t>
  </si>
  <si>
    <t>3411-8</t>
  </si>
  <si>
    <t>4275-7</t>
  </si>
  <si>
    <t>47907-1</t>
  </si>
  <si>
    <t>47.908-X</t>
  </si>
  <si>
    <t>ONITEL SERVICOS LTDA</t>
  </si>
  <si>
    <t>ONITEL TELECOMUNICAÇÕES LTDA</t>
  </si>
  <si>
    <t>G. M. de Barros Servicos</t>
  </si>
  <si>
    <t>[Data de Fechamento]</t>
  </si>
  <si>
    <t>Favorecido / Razão Social</t>
  </si>
  <si>
    <t>Termo de Contratação</t>
  </si>
  <si>
    <t>Nexa Eva Telecom</t>
  </si>
  <si>
    <t>FTTx</t>
  </si>
  <si>
    <t>Setup</t>
  </si>
  <si>
    <t>N3</t>
  </si>
  <si>
    <t>Deletar&gt;&gt;</t>
  </si>
  <si>
    <t>Valor das notas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</si>
</sst>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_);\(#,##0\);&quot;-&quot;_)"/>
    <numFmt numFmtId="165" formatCode="#,##0.0_)%;\(#,##0.0%\);&quot;-&quot;\%_)"/>
    <numFmt numFmtId="166" formatCode="#,##0.000000000000_);\(#,##0.000000000000\);&quot;-&quot;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Protection="0"/>
  </cellStyleXfs>
  <cellXfs count="28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3" fillId="0" borderId="2" xfId="0" applyFont="1" applyBorder="1"/>
    <xf numFmtId="165" fontId="4" fillId="0" borderId="0" xfId="0" applyNumberFormat="1" applyFont="1"/>
    <xf numFmtId="17" fontId="3" fillId="2" borderId="0" xfId="0" applyNumberFormat="1" applyFont="1" applyFill="1"/>
    <xf numFmtId="17" fontId="3" fillId="0" borderId="0" xfId="0" applyNumberFormat="1" applyFont="1"/>
    <xf numFmtId="164" fontId="3" fillId="0" borderId="3" xfId="0" applyNumberFormat="1" applyFont="1" applyBorder="1"/>
    <xf numFmtId="0" fontId="3" fillId="3" borderId="2" xfId="0" applyFont="1" applyFill="1" applyBorder="1"/>
    <xf numFmtId="164" fontId="3" fillId="3" borderId="2" xfId="0" applyNumberFormat="1" applyFont="1" applyFill="1" applyBorder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5" fillId="0" borderId="0" xfId="0" applyFont="1" applyAlignment="1">
      <alignment horizontal="left" indent="2"/>
    </xf>
    <xf numFmtId="164" fontId="5" fillId="0" borderId="1" xfId="0" applyNumberFormat="1" applyFont="1" applyBorder="1"/>
    <xf numFmtId="0" fontId="0" fillId="0" borderId="0" xfId="0" applyAlignment="1">
      <alignment horizontal="left"/>
    </xf>
    <xf numFmtId="164" fontId="3" fillId="3" borderId="3" xfId="0" applyNumberFormat="1" applyFont="1" applyFill="1" applyBorder="1"/>
    <xf numFmtId="17" fontId="3" fillId="2" borderId="0" xfId="0" applyNumberFormat="1" applyFont="1" applyFill="1" applyAlignment="1">
      <alignment horizontal="right"/>
    </xf>
    <xf numFmtId="164" fontId="3" fillId="0" borderId="2" xfId="0" applyNumberFormat="1" applyFont="1" applyBorder="1"/>
    <xf numFmtId="0" fontId="5" fillId="4" borderId="0" xfId="0" applyFont="1" applyFill="1" applyAlignment="1">
      <alignment horizontal="left" indent="2"/>
    </xf>
    <xf numFmtId="0" fontId="6" fillId="0" borderId="0" xfId="0" applyFont="1"/>
    <xf numFmtId="0" fontId="7" fillId="0" borderId="0" xfId="0" applyFont="1"/>
  </cellXfs>
  <cellStyles count="3">
    <cellStyle name="Comma 2" xfId="2" xr:uid="{4F5C782D-03EA-4627-B955-A97548275BA1}"/>
    <cellStyle name="Normal" xfId="0" builtinId="0"/>
    <cellStyle name="Normal 2" xfId="1" xr:uid="{473AA21B-2A84-46B7-B869-3551EEC30F2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803B-A63C-43C3-A58C-94A47B809FCC}">
  <dimension ref="B2:BH42"/>
  <sheetViews>
    <sheetView showGridLines="0" tabSelected="1" zoomScale="157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36" sqref="L36"/>
    </sheetView>
  </sheetViews>
  <sheetFormatPr baseColWidth="10" defaultColWidth="8.83203125" defaultRowHeight="15" outlineLevelRow="1" x14ac:dyDescent="0.2"/>
  <cols>
    <col min="1" max="1" width="4.1640625" customWidth="1"/>
    <col min="2" max="2" width="13.6640625" bestFit="1" customWidth="1"/>
    <col min="3" max="3" width="38.1640625" bestFit="1" customWidth="1"/>
    <col min="4" max="4" width="36.6640625" customWidth="1"/>
    <col min="5" max="5" width="20.6640625" customWidth="1"/>
    <col min="6" max="8" width="13.6640625" customWidth="1"/>
    <col min="9" max="9" width="21.83203125" customWidth="1"/>
    <col min="10" max="10" width="14.5" bestFit="1" customWidth="1"/>
    <col min="11" max="11" width="14" bestFit="1" customWidth="1"/>
    <col min="12" max="12" width="12.1640625" bestFit="1" customWidth="1"/>
    <col min="13" max="13" width="11.1640625" bestFit="1" customWidth="1"/>
    <col min="14" max="14" width="11.5" bestFit="1" customWidth="1"/>
    <col min="15" max="16" width="11.1640625" bestFit="1" customWidth="1"/>
    <col min="17" max="17" width="11.5" bestFit="1" customWidth="1"/>
    <col min="18" max="19" width="11.1640625" bestFit="1" customWidth="1"/>
    <col min="20" max="20" width="11.5" bestFit="1" customWidth="1"/>
    <col min="21" max="22" width="11.1640625" bestFit="1" customWidth="1"/>
    <col min="23" max="23" width="11.5" bestFit="1" customWidth="1"/>
    <col min="24" max="26" width="11.1640625" bestFit="1" customWidth="1"/>
    <col min="27" max="32" width="10.1640625" bestFit="1" customWidth="1"/>
    <col min="33" max="33" width="9.83203125" bestFit="1" customWidth="1"/>
    <col min="34" max="34" width="9.5" bestFit="1" customWidth="1"/>
    <col min="35" max="35" width="12.6640625" bestFit="1" customWidth="1"/>
    <col min="36" max="36" width="9.6640625" bestFit="1" customWidth="1"/>
    <col min="37" max="38" width="9.5" bestFit="1" customWidth="1"/>
    <col min="39" max="39" width="9.83203125" bestFit="1" customWidth="1"/>
    <col min="40" max="40" width="9.6640625" bestFit="1" customWidth="1"/>
    <col min="41" max="41" width="9.33203125" bestFit="1" customWidth="1"/>
    <col min="42" max="42" width="9.5" bestFit="1" customWidth="1"/>
    <col min="43" max="43" width="10" bestFit="1" customWidth="1"/>
    <col min="44" max="44" width="9.5" bestFit="1" customWidth="1"/>
    <col min="45" max="45" width="9.83203125" bestFit="1" customWidth="1"/>
    <col min="46" max="46" width="9.5" bestFit="1" customWidth="1"/>
    <col min="47" max="47" width="14" bestFit="1" customWidth="1"/>
    <col min="48" max="48" width="9.6640625" bestFit="1" customWidth="1"/>
    <col min="49" max="50" width="9.5" bestFit="1" customWidth="1"/>
    <col min="51" max="51" width="9.83203125" bestFit="1" customWidth="1"/>
    <col min="52" max="52" width="9.6640625" bestFit="1" customWidth="1"/>
    <col min="53" max="53" width="9.33203125" bestFit="1" customWidth="1"/>
    <col min="54" max="54" width="9.5" bestFit="1" customWidth="1"/>
    <col min="55" max="55" width="10" bestFit="1" customWidth="1"/>
    <col min="56" max="56" width="9.5" bestFit="1" customWidth="1"/>
    <col min="57" max="57" width="9.83203125" bestFit="1" customWidth="1"/>
    <col min="58" max="58" width="9.5" bestFit="1" customWidth="1"/>
    <col min="59" max="59" width="14" bestFit="1" customWidth="1"/>
  </cols>
  <sheetData>
    <row r="2" spans="2:59" x14ac:dyDescent="0.2">
      <c r="B2" s="5" t="s">
        <v>42</v>
      </c>
      <c r="C2" s="5" t="s">
        <v>6</v>
      </c>
      <c r="D2" s="5" t="s">
        <v>60</v>
      </c>
      <c r="E2" s="5" t="s">
        <v>45</v>
      </c>
      <c r="F2" s="23" t="s">
        <v>23</v>
      </c>
      <c r="G2" s="23" t="s">
        <v>24</v>
      </c>
      <c r="H2" s="23" t="s">
        <v>25</v>
      </c>
      <c r="I2" s="23" t="s">
        <v>47</v>
      </c>
      <c r="J2" s="23" t="s">
        <v>0</v>
      </c>
      <c r="K2" s="5">
        <v>46204</v>
      </c>
      <c r="L2" s="5">
        <f>EDATE(K2,1)</f>
        <v>46235</v>
      </c>
      <c r="M2" s="5">
        <f t="shared" ref="M2:BG2" si="0">EDATE(L2,1)</f>
        <v>46266</v>
      </c>
      <c r="N2" s="5">
        <f t="shared" si="0"/>
        <v>46296</v>
      </c>
      <c r="O2" s="5">
        <f t="shared" si="0"/>
        <v>46327</v>
      </c>
      <c r="P2" s="5">
        <f t="shared" si="0"/>
        <v>46357</v>
      </c>
      <c r="Q2" s="5">
        <f t="shared" si="0"/>
        <v>46388</v>
      </c>
      <c r="R2" s="5">
        <f t="shared" si="0"/>
        <v>46419</v>
      </c>
      <c r="S2" s="5">
        <f t="shared" si="0"/>
        <v>46447</v>
      </c>
      <c r="T2" s="5">
        <f t="shared" si="0"/>
        <v>46478</v>
      </c>
      <c r="U2" s="5">
        <f t="shared" si="0"/>
        <v>46508</v>
      </c>
      <c r="V2" s="5">
        <f t="shared" si="0"/>
        <v>46539</v>
      </c>
      <c r="W2" s="5">
        <f t="shared" si="0"/>
        <v>46569</v>
      </c>
      <c r="X2" s="5">
        <f t="shared" si="0"/>
        <v>46600</v>
      </c>
      <c r="Y2" s="5">
        <f t="shared" si="0"/>
        <v>46631</v>
      </c>
      <c r="Z2" s="5">
        <f t="shared" si="0"/>
        <v>46661</v>
      </c>
      <c r="AA2" s="5">
        <f t="shared" si="0"/>
        <v>46692</v>
      </c>
      <c r="AB2" s="5">
        <f t="shared" si="0"/>
        <v>46722</v>
      </c>
      <c r="AC2" s="5">
        <f t="shared" si="0"/>
        <v>46753</v>
      </c>
      <c r="AD2" s="5">
        <f t="shared" si="0"/>
        <v>46784</v>
      </c>
      <c r="AE2" s="5">
        <f t="shared" si="0"/>
        <v>46813</v>
      </c>
      <c r="AF2" s="5">
        <f t="shared" si="0"/>
        <v>46844</v>
      </c>
      <c r="AG2" s="5">
        <f t="shared" si="0"/>
        <v>46874</v>
      </c>
      <c r="AH2" s="5">
        <f t="shared" si="0"/>
        <v>46905</v>
      </c>
      <c r="AI2" s="5">
        <f t="shared" si="0"/>
        <v>46935</v>
      </c>
      <c r="AJ2" s="5">
        <f t="shared" si="0"/>
        <v>46966</v>
      </c>
      <c r="AK2" s="5">
        <f t="shared" si="0"/>
        <v>46997</v>
      </c>
      <c r="AL2" s="5">
        <f t="shared" si="0"/>
        <v>47027</v>
      </c>
      <c r="AM2" s="5">
        <f t="shared" si="0"/>
        <v>47058</v>
      </c>
      <c r="AN2" s="5">
        <f t="shared" si="0"/>
        <v>47088</v>
      </c>
      <c r="AO2" s="5">
        <f t="shared" si="0"/>
        <v>47119</v>
      </c>
      <c r="AP2" s="5">
        <f t="shared" si="0"/>
        <v>47150</v>
      </c>
      <c r="AQ2" s="5">
        <f t="shared" si="0"/>
        <v>47178</v>
      </c>
      <c r="AR2" s="5">
        <f t="shared" si="0"/>
        <v>47209</v>
      </c>
      <c r="AS2" s="5">
        <f t="shared" si="0"/>
        <v>47239</v>
      </c>
      <c r="AT2" s="5">
        <f t="shared" si="0"/>
        <v>47270</v>
      </c>
      <c r="AU2" s="5">
        <f t="shared" si="0"/>
        <v>47300</v>
      </c>
      <c r="AV2" s="5">
        <f t="shared" si="0"/>
        <v>47331</v>
      </c>
      <c r="AW2" s="5">
        <f t="shared" si="0"/>
        <v>47362</v>
      </c>
      <c r="AX2" s="5">
        <f t="shared" si="0"/>
        <v>47392</v>
      </c>
      <c r="AY2" s="5">
        <f t="shared" si="0"/>
        <v>47423</v>
      </c>
      <c r="AZ2" s="5">
        <f t="shared" si="0"/>
        <v>47453</v>
      </c>
      <c r="BA2" s="5">
        <f t="shared" si="0"/>
        <v>47484</v>
      </c>
      <c r="BB2" s="5">
        <f t="shared" si="0"/>
        <v>47515</v>
      </c>
      <c r="BC2" s="5">
        <f t="shared" si="0"/>
        <v>47543</v>
      </c>
      <c r="BD2" s="5">
        <f t="shared" si="0"/>
        <v>47574</v>
      </c>
      <c r="BE2" s="5">
        <f t="shared" si="0"/>
        <v>47604</v>
      </c>
      <c r="BF2" s="5">
        <f t="shared" si="0"/>
        <v>47635</v>
      </c>
      <c r="BG2" s="5">
        <f t="shared" si="0"/>
        <v>47665</v>
      </c>
    </row>
    <row r="3" spans="2:59" x14ac:dyDescent="0.2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</row>
    <row r="4" spans="2:59" x14ac:dyDescent="0.2">
      <c r="B4" t="s">
        <v>43</v>
      </c>
      <c r="C4" t="s">
        <v>5</v>
      </c>
      <c r="D4" s="21" t="s">
        <v>46</v>
      </c>
      <c r="E4" s="12" t="s">
        <v>59</v>
      </c>
      <c r="F4" s="11" t="s">
        <v>46</v>
      </c>
      <c r="G4" s="11" t="s">
        <v>46</v>
      </c>
      <c r="H4" s="11" t="s">
        <v>46</v>
      </c>
      <c r="I4" s="11" t="s">
        <v>46</v>
      </c>
      <c r="J4" s="2">
        <f>SUM(K4:BG4)</f>
        <v>65920878.186980911</v>
      </c>
      <c r="K4" s="1">
        <f>SUM(K5:K6)</f>
        <v>12924927.176094271</v>
      </c>
      <c r="L4" s="1">
        <f t="shared" ref="L4:BG4" si="1">SUM(L5:L6)</f>
        <v>0</v>
      </c>
      <c r="M4" s="1">
        <f t="shared" si="1"/>
        <v>0</v>
      </c>
      <c r="N4" s="1">
        <f t="shared" si="1"/>
        <v>0</v>
      </c>
      <c r="O4" s="1">
        <f t="shared" si="1"/>
        <v>0</v>
      </c>
      <c r="P4" s="1">
        <f t="shared" si="1"/>
        <v>0</v>
      </c>
      <c r="Q4" s="1">
        <f t="shared" si="1"/>
        <v>0</v>
      </c>
      <c r="R4" s="1">
        <f t="shared" si="1"/>
        <v>0</v>
      </c>
      <c r="S4" s="1">
        <f t="shared" si="1"/>
        <v>0</v>
      </c>
      <c r="T4" s="1">
        <f t="shared" si="1"/>
        <v>0</v>
      </c>
      <c r="U4" s="1">
        <f t="shared" si="1"/>
        <v>0</v>
      </c>
      <c r="V4" s="1">
        <f t="shared" si="1"/>
        <v>0</v>
      </c>
      <c r="W4" s="1">
        <f t="shared" si="1"/>
        <v>0</v>
      </c>
      <c r="X4" s="1">
        <f t="shared" si="1"/>
        <v>0</v>
      </c>
      <c r="Y4" s="1">
        <f t="shared" si="1"/>
        <v>0</v>
      </c>
      <c r="Z4" s="1">
        <f t="shared" si="1"/>
        <v>0</v>
      </c>
      <c r="AA4" s="1">
        <f t="shared" si="1"/>
        <v>0</v>
      </c>
      <c r="AB4" s="1">
        <f t="shared" si="1"/>
        <v>0</v>
      </c>
      <c r="AC4" s="1">
        <f t="shared" si="1"/>
        <v>0</v>
      </c>
      <c r="AD4" s="1">
        <f t="shared" si="1"/>
        <v>0</v>
      </c>
      <c r="AE4" s="1">
        <f t="shared" si="1"/>
        <v>0</v>
      </c>
      <c r="AF4" s="1">
        <f t="shared" si="1"/>
        <v>0</v>
      </c>
      <c r="AG4" s="1">
        <f t="shared" si="1"/>
        <v>0</v>
      </c>
      <c r="AH4" s="1">
        <f t="shared" si="1"/>
        <v>0</v>
      </c>
      <c r="AI4" s="1">
        <f t="shared" si="1"/>
        <v>4711951.0108866403</v>
      </c>
      <c r="AJ4" s="1">
        <f t="shared" si="1"/>
        <v>0</v>
      </c>
      <c r="AK4" s="1">
        <f t="shared" si="1"/>
        <v>0</v>
      </c>
      <c r="AL4" s="1">
        <f t="shared" si="1"/>
        <v>0</v>
      </c>
      <c r="AM4" s="1">
        <f t="shared" si="1"/>
        <v>0</v>
      </c>
      <c r="AN4" s="1">
        <f t="shared" si="1"/>
        <v>0</v>
      </c>
      <c r="AO4" s="1">
        <f t="shared" si="1"/>
        <v>0</v>
      </c>
      <c r="AP4" s="1">
        <f t="shared" si="1"/>
        <v>0</v>
      </c>
      <c r="AQ4" s="1">
        <f t="shared" si="1"/>
        <v>0</v>
      </c>
      <c r="AR4" s="1">
        <f t="shared" si="1"/>
        <v>0</v>
      </c>
      <c r="AS4" s="1">
        <f t="shared" si="1"/>
        <v>0</v>
      </c>
      <c r="AT4" s="1">
        <f t="shared" si="1"/>
        <v>0</v>
      </c>
      <c r="AU4" s="1">
        <f t="shared" si="1"/>
        <v>24142000</v>
      </c>
      <c r="AV4" s="1">
        <f t="shared" si="1"/>
        <v>0</v>
      </c>
      <c r="AW4" s="1">
        <f t="shared" si="1"/>
        <v>0</v>
      </c>
      <c r="AX4" s="1">
        <f t="shared" si="1"/>
        <v>0</v>
      </c>
      <c r="AY4" s="1">
        <f t="shared" si="1"/>
        <v>0</v>
      </c>
      <c r="AZ4" s="1">
        <f t="shared" si="1"/>
        <v>0</v>
      </c>
      <c r="BA4" s="1">
        <f t="shared" si="1"/>
        <v>0</v>
      </c>
      <c r="BB4" s="1">
        <f t="shared" si="1"/>
        <v>0</v>
      </c>
      <c r="BC4" s="1">
        <f t="shared" si="1"/>
        <v>0</v>
      </c>
      <c r="BD4" s="1">
        <f t="shared" si="1"/>
        <v>0</v>
      </c>
      <c r="BE4" s="1">
        <f t="shared" si="1"/>
        <v>0</v>
      </c>
      <c r="BF4" s="1">
        <f t="shared" si="1"/>
        <v>0</v>
      </c>
      <c r="BG4" s="1">
        <f t="shared" si="1"/>
        <v>24142000</v>
      </c>
    </row>
    <row r="5" spans="2:59" s="16" customFormat="1" outlineLevel="1" x14ac:dyDescent="0.2">
      <c r="B5" s="19" t="s">
        <v>43</v>
      </c>
      <c r="C5" s="19" t="s">
        <v>48</v>
      </c>
      <c r="D5" s="19" t="s">
        <v>57</v>
      </c>
      <c r="E5" s="15" t="s">
        <v>59</v>
      </c>
      <c r="F5" s="16">
        <v>1</v>
      </c>
      <c r="G5" s="17" t="s">
        <v>52</v>
      </c>
      <c r="H5" s="17" t="s">
        <v>54</v>
      </c>
      <c r="I5" s="17" t="s">
        <v>49</v>
      </c>
      <c r="J5" s="20">
        <f t="shared" ref="J5:J19" si="2">SUM(K5:BG5)</f>
        <v>42649550.918097198</v>
      </c>
      <c r="K5" s="18">
        <v>8362181.3736455785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3048542.4358633407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15619413.554294141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15619413.554294141</v>
      </c>
    </row>
    <row r="6" spans="2:59" s="16" customFormat="1" outlineLevel="1" x14ac:dyDescent="0.2">
      <c r="B6" s="19" t="s">
        <v>43</v>
      </c>
      <c r="C6" s="19" t="s">
        <v>51</v>
      </c>
      <c r="D6" s="19" t="s">
        <v>56</v>
      </c>
      <c r="E6" s="15" t="s">
        <v>59</v>
      </c>
      <c r="F6" s="16">
        <v>1</v>
      </c>
      <c r="G6" s="17" t="s">
        <v>53</v>
      </c>
      <c r="H6" s="17" t="s">
        <v>55</v>
      </c>
      <c r="I6" s="17" t="s">
        <v>50</v>
      </c>
      <c r="J6" s="20">
        <f t="shared" si="2"/>
        <v>23271327.268883705</v>
      </c>
      <c r="K6" s="18">
        <v>4562745.8024486918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1663408.5750232993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8522586.4457058571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8522586.4457058571</v>
      </c>
    </row>
    <row r="7" spans="2:59" x14ac:dyDescent="0.2">
      <c r="B7" t="s">
        <v>43</v>
      </c>
      <c r="C7" t="s">
        <v>38</v>
      </c>
      <c r="D7" t="s">
        <v>58</v>
      </c>
      <c r="E7" s="12" t="s">
        <v>59</v>
      </c>
      <c r="F7">
        <v>765</v>
      </c>
      <c r="G7" s="11" t="s">
        <v>39</v>
      </c>
      <c r="H7" s="11" t="s">
        <v>40</v>
      </c>
      <c r="I7" s="11" t="s">
        <v>41</v>
      </c>
      <c r="J7" s="2">
        <f t="shared" si="2"/>
        <v>4959000</v>
      </c>
      <c r="K7" s="1">
        <v>3000000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653000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653000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653000</v>
      </c>
    </row>
    <row r="8" spans="2:59" x14ac:dyDescent="0.2">
      <c r="B8" t="s">
        <v>43</v>
      </c>
      <c r="C8" t="s">
        <v>44</v>
      </c>
      <c r="D8" s="21" t="s">
        <v>46</v>
      </c>
      <c r="E8" s="12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2">
        <f t="shared" si="2"/>
        <v>6615200.7700000014</v>
      </c>
      <c r="K8" s="1">
        <f>SUM(K9:K18)</f>
        <v>0</v>
      </c>
      <c r="L8" s="1">
        <f t="shared" ref="L8" si="3">SUM(L9:L18)</f>
        <v>0</v>
      </c>
      <c r="M8" s="1">
        <f>SUM(M9:M18)</f>
        <v>772015.09</v>
      </c>
      <c r="N8" s="1">
        <f t="shared" ref="N8:BG8" si="4">SUM(N9:N18)</f>
        <v>852023.41999999993</v>
      </c>
      <c r="O8" s="1">
        <f t="shared" si="4"/>
        <v>772015.09</v>
      </c>
      <c r="P8" s="1">
        <f t="shared" si="4"/>
        <v>540113.11</v>
      </c>
      <c r="Q8" s="1">
        <f t="shared" si="4"/>
        <v>460129.27999999997</v>
      </c>
      <c r="R8" s="1">
        <f t="shared" si="4"/>
        <v>537811.52</v>
      </c>
      <c r="S8" s="1">
        <f t="shared" si="4"/>
        <v>443632.36</v>
      </c>
      <c r="T8" s="1">
        <f t="shared" si="4"/>
        <v>522031.42</v>
      </c>
      <c r="U8" s="1">
        <f t="shared" si="4"/>
        <v>204484.7</v>
      </c>
      <c r="V8" s="1">
        <f t="shared" si="4"/>
        <v>204493.03</v>
      </c>
      <c r="W8" s="1">
        <f t="shared" si="4"/>
        <v>204484.7</v>
      </c>
      <c r="X8" s="1">
        <f t="shared" si="4"/>
        <v>204493.03</v>
      </c>
      <c r="Y8" s="1">
        <f t="shared" si="4"/>
        <v>201801.96</v>
      </c>
      <c r="Z8" s="1">
        <f t="shared" si="4"/>
        <v>201810.33</v>
      </c>
      <c r="AA8" s="1">
        <f t="shared" si="4"/>
        <v>85143.59</v>
      </c>
      <c r="AB8" s="1">
        <f t="shared" si="4"/>
        <v>85143.59</v>
      </c>
      <c r="AC8" s="1">
        <f t="shared" si="4"/>
        <v>82669.48000000001</v>
      </c>
      <c r="AD8" s="1">
        <f t="shared" si="4"/>
        <v>80301.69</v>
      </c>
      <c r="AE8" s="1">
        <f t="shared" si="4"/>
        <v>80301.69</v>
      </c>
      <c r="AF8" s="1">
        <f t="shared" si="4"/>
        <v>80301.69</v>
      </c>
      <c r="AG8" s="1">
        <f t="shared" si="4"/>
        <v>0</v>
      </c>
      <c r="AH8" s="1">
        <f t="shared" si="4"/>
        <v>0</v>
      </c>
      <c r="AI8" s="1">
        <f t="shared" si="4"/>
        <v>0</v>
      </c>
      <c r="AJ8" s="1">
        <f t="shared" si="4"/>
        <v>0</v>
      </c>
      <c r="AK8" s="1">
        <f t="shared" si="4"/>
        <v>0</v>
      </c>
      <c r="AL8" s="1">
        <f t="shared" si="4"/>
        <v>0</v>
      </c>
      <c r="AM8" s="1">
        <f t="shared" si="4"/>
        <v>0</v>
      </c>
      <c r="AN8" s="1">
        <f t="shared" si="4"/>
        <v>0</v>
      </c>
      <c r="AO8" s="1">
        <f t="shared" si="4"/>
        <v>0</v>
      </c>
      <c r="AP8" s="1">
        <f t="shared" si="4"/>
        <v>0</v>
      </c>
      <c r="AQ8" s="1">
        <f t="shared" si="4"/>
        <v>0</v>
      </c>
      <c r="AR8" s="1">
        <f t="shared" si="4"/>
        <v>0</v>
      </c>
      <c r="AS8" s="1">
        <f t="shared" si="4"/>
        <v>0</v>
      </c>
      <c r="AT8" s="1">
        <f t="shared" si="4"/>
        <v>0</v>
      </c>
      <c r="AU8" s="1">
        <f t="shared" si="4"/>
        <v>0</v>
      </c>
      <c r="AV8" s="1">
        <f t="shared" si="4"/>
        <v>0</v>
      </c>
      <c r="AW8" s="1">
        <f t="shared" si="4"/>
        <v>0</v>
      </c>
      <c r="AX8" s="1">
        <f t="shared" si="4"/>
        <v>0</v>
      </c>
      <c r="AY8" s="1">
        <f t="shared" si="4"/>
        <v>0</v>
      </c>
      <c r="AZ8" s="1">
        <f t="shared" si="4"/>
        <v>0</v>
      </c>
      <c r="BA8" s="1">
        <f t="shared" si="4"/>
        <v>0</v>
      </c>
      <c r="BB8" s="1">
        <f t="shared" si="4"/>
        <v>0</v>
      </c>
      <c r="BC8" s="1">
        <f t="shared" si="4"/>
        <v>0</v>
      </c>
      <c r="BD8" s="1">
        <f t="shared" si="4"/>
        <v>0</v>
      </c>
      <c r="BE8" s="1">
        <f t="shared" si="4"/>
        <v>0</v>
      </c>
      <c r="BF8" s="1">
        <f t="shared" si="4"/>
        <v>0</v>
      </c>
      <c r="BG8" s="1">
        <f t="shared" si="4"/>
        <v>0</v>
      </c>
    </row>
    <row r="9" spans="2:59" s="16" customFormat="1" outlineLevel="1" x14ac:dyDescent="0.2">
      <c r="B9" s="19" t="s">
        <v>43</v>
      </c>
      <c r="C9" s="19" t="s">
        <v>1</v>
      </c>
      <c r="D9" s="19" t="s">
        <v>26</v>
      </c>
      <c r="E9" s="15">
        <v>16</v>
      </c>
      <c r="F9" s="16">
        <v>756</v>
      </c>
      <c r="G9" s="16">
        <v>3054</v>
      </c>
      <c r="H9" s="17" t="s">
        <v>27</v>
      </c>
      <c r="I9" s="17" t="s">
        <v>14</v>
      </c>
      <c r="J9" s="20">
        <f t="shared" si="2"/>
        <v>816666.70000000007</v>
      </c>
      <c r="K9" s="18">
        <v>0</v>
      </c>
      <c r="L9" s="18">
        <v>0</v>
      </c>
      <c r="M9" s="18">
        <v>0</v>
      </c>
      <c r="N9" s="18">
        <v>116666.66</v>
      </c>
      <c r="O9" s="18">
        <v>0</v>
      </c>
      <c r="P9" s="18">
        <v>116666.66</v>
      </c>
      <c r="Q9" s="18">
        <v>0</v>
      </c>
      <c r="R9" s="18">
        <v>116666.66</v>
      </c>
      <c r="S9" s="18">
        <v>0</v>
      </c>
      <c r="T9" s="18">
        <v>116666.66</v>
      </c>
      <c r="U9" s="18">
        <v>0</v>
      </c>
      <c r="V9" s="18">
        <v>116666.66</v>
      </c>
      <c r="W9" s="18">
        <v>0</v>
      </c>
      <c r="X9" s="18">
        <v>116666.66</v>
      </c>
      <c r="Y9" s="18">
        <v>0</v>
      </c>
      <c r="Z9" s="18">
        <v>116666.74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</row>
    <row r="10" spans="2:59" s="16" customFormat="1" outlineLevel="1" x14ac:dyDescent="0.2">
      <c r="B10" s="19" t="s">
        <v>43</v>
      </c>
      <c r="C10" s="25" t="s">
        <v>2</v>
      </c>
      <c r="D10" s="19" t="s">
        <v>28</v>
      </c>
      <c r="E10" s="15">
        <v>10</v>
      </c>
      <c r="F10" s="16">
        <v>33</v>
      </c>
      <c r="G10" s="16">
        <v>82</v>
      </c>
      <c r="H10" s="17" t="s">
        <v>29</v>
      </c>
      <c r="I10" s="17" t="s">
        <v>15</v>
      </c>
      <c r="J10" s="20">
        <f t="shared" si="2"/>
        <v>1268811.9199999995</v>
      </c>
      <c r="K10" s="18">
        <v>0</v>
      </c>
      <c r="L10" s="18">
        <v>0</v>
      </c>
      <c r="M10" s="18">
        <v>351670.07</v>
      </c>
      <c r="N10" s="18">
        <v>351670.07</v>
      </c>
      <c r="O10" s="18">
        <v>351670.07</v>
      </c>
      <c r="P10" s="18">
        <v>39759.760000000002</v>
      </c>
      <c r="Q10" s="18">
        <v>39784.26</v>
      </c>
      <c r="R10" s="18">
        <v>37458.17</v>
      </c>
      <c r="S10" s="18">
        <v>23287.34</v>
      </c>
      <c r="T10" s="18">
        <v>21678.07</v>
      </c>
      <c r="U10" s="18">
        <v>7524.68</v>
      </c>
      <c r="V10" s="18">
        <v>7524.68</v>
      </c>
      <c r="W10" s="18">
        <v>7524.68</v>
      </c>
      <c r="X10" s="18">
        <v>7524.68</v>
      </c>
      <c r="Y10" s="18">
        <v>4841.8999999999996</v>
      </c>
      <c r="Z10" s="18">
        <v>4841.8999999999996</v>
      </c>
      <c r="AA10" s="18">
        <v>4841.8999999999996</v>
      </c>
      <c r="AB10" s="18">
        <v>4841.8999999999996</v>
      </c>
      <c r="AC10" s="18">
        <v>2367.79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</row>
    <row r="11" spans="2:59" s="16" customFormat="1" outlineLevel="1" x14ac:dyDescent="0.2">
      <c r="B11" s="19" t="s">
        <v>43</v>
      </c>
      <c r="C11" s="25" t="s">
        <v>62</v>
      </c>
      <c r="D11" s="19" t="s">
        <v>8</v>
      </c>
      <c r="E11" s="15">
        <v>10</v>
      </c>
      <c r="F11" s="16">
        <v>1</v>
      </c>
      <c r="G11" s="16">
        <v>221</v>
      </c>
      <c r="H11" s="17" t="s">
        <v>30</v>
      </c>
      <c r="I11" s="17" t="s">
        <v>16</v>
      </c>
      <c r="J11" s="20">
        <f t="shared" si="2"/>
        <v>23801.399999999998</v>
      </c>
      <c r="K11" s="18">
        <v>0</v>
      </c>
      <c r="L11" s="18">
        <v>0</v>
      </c>
      <c r="M11" s="18">
        <v>1190.07</v>
      </c>
      <c r="N11" s="18">
        <v>1190.07</v>
      </c>
      <c r="O11" s="18">
        <v>1190.07</v>
      </c>
      <c r="P11" s="18">
        <v>1190.07</v>
      </c>
      <c r="Q11" s="18">
        <v>1190.07</v>
      </c>
      <c r="R11" s="18">
        <v>1190.07</v>
      </c>
      <c r="S11" s="18">
        <v>1190.07</v>
      </c>
      <c r="T11" s="18">
        <v>1190.07</v>
      </c>
      <c r="U11" s="18">
        <v>1190.07</v>
      </c>
      <c r="V11" s="18">
        <v>1190.07</v>
      </c>
      <c r="W11" s="18">
        <v>1190.07</v>
      </c>
      <c r="X11" s="18">
        <v>1190.07</v>
      </c>
      <c r="Y11" s="18">
        <v>1190.07</v>
      </c>
      <c r="Z11" s="18">
        <v>1190.07</v>
      </c>
      <c r="AA11" s="18">
        <v>1190.07</v>
      </c>
      <c r="AB11" s="18">
        <v>1190.07</v>
      </c>
      <c r="AC11" s="18">
        <v>1190.07</v>
      </c>
      <c r="AD11" s="18">
        <v>1190.07</v>
      </c>
      <c r="AE11" s="18">
        <v>1190.07</v>
      </c>
      <c r="AF11" s="18">
        <v>1190.07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</row>
    <row r="12" spans="2:59" s="16" customFormat="1" outlineLevel="1" x14ac:dyDescent="0.2">
      <c r="B12" s="19" t="s">
        <v>43</v>
      </c>
      <c r="C12" s="25" t="s">
        <v>62</v>
      </c>
      <c r="D12" s="19" t="s">
        <v>9</v>
      </c>
      <c r="E12" s="15">
        <v>10</v>
      </c>
      <c r="F12" s="16">
        <v>756</v>
      </c>
      <c r="G12" s="16">
        <v>4033</v>
      </c>
      <c r="H12" s="17" t="s">
        <v>31</v>
      </c>
      <c r="I12" s="17" t="s">
        <v>17</v>
      </c>
      <c r="J12" s="20">
        <f t="shared" si="2"/>
        <v>447521.40000000008</v>
      </c>
      <c r="K12" s="18">
        <v>0</v>
      </c>
      <c r="L12" s="18">
        <v>0</v>
      </c>
      <c r="M12" s="18">
        <v>22376.07</v>
      </c>
      <c r="N12" s="18">
        <v>22376.07</v>
      </c>
      <c r="O12" s="18">
        <v>22376.07</v>
      </c>
      <c r="P12" s="18">
        <v>22376.07</v>
      </c>
      <c r="Q12" s="18">
        <v>22376.07</v>
      </c>
      <c r="R12" s="18">
        <v>22376.07</v>
      </c>
      <c r="S12" s="18">
        <v>22376.07</v>
      </c>
      <c r="T12" s="18">
        <v>22376.07</v>
      </c>
      <c r="U12" s="18">
        <v>22376.07</v>
      </c>
      <c r="V12" s="18">
        <v>22376.07</v>
      </c>
      <c r="W12" s="18">
        <v>22376.07</v>
      </c>
      <c r="X12" s="18">
        <v>22376.07</v>
      </c>
      <c r="Y12" s="18">
        <v>22376.07</v>
      </c>
      <c r="Z12" s="18">
        <v>22376.07</v>
      </c>
      <c r="AA12" s="18">
        <v>22376.07</v>
      </c>
      <c r="AB12" s="18">
        <v>22376.07</v>
      </c>
      <c r="AC12" s="18">
        <v>22376.07</v>
      </c>
      <c r="AD12" s="18">
        <v>22376.07</v>
      </c>
      <c r="AE12" s="18">
        <v>22376.07</v>
      </c>
      <c r="AF12" s="18">
        <v>22376.07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</row>
    <row r="13" spans="2:59" s="16" customFormat="1" outlineLevel="1" x14ac:dyDescent="0.2">
      <c r="B13" s="19" t="s">
        <v>43</v>
      </c>
      <c r="C13" s="25" t="s">
        <v>62</v>
      </c>
      <c r="D13" s="19" t="s">
        <v>10</v>
      </c>
      <c r="E13" s="15">
        <v>10</v>
      </c>
      <c r="F13" s="16">
        <v>748</v>
      </c>
      <c r="G13" s="16">
        <v>3953</v>
      </c>
      <c r="H13" s="17" t="s">
        <v>32</v>
      </c>
      <c r="I13" s="17" t="s">
        <v>18</v>
      </c>
      <c r="J13" s="20">
        <f t="shared" si="2"/>
        <v>214212.8000000001</v>
      </c>
      <c r="K13" s="18">
        <v>0</v>
      </c>
      <c r="L13" s="18">
        <v>0</v>
      </c>
      <c r="M13" s="18">
        <v>10710.64</v>
      </c>
      <c r="N13" s="18">
        <v>10710.64</v>
      </c>
      <c r="O13" s="18">
        <v>10710.64</v>
      </c>
      <c r="P13" s="18">
        <v>10710.64</v>
      </c>
      <c r="Q13" s="18">
        <v>10710.64</v>
      </c>
      <c r="R13" s="18">
        <v>10710.64</v>
      </c>
      <c r="S13" s="18">
        <v>10710.64</v>
      </c>
      <c r="T13" s="18">
        <v>10710.64</v>
      </c>
      <c r="U13" s="18">
        <v>10710.64</v>
      </c>
      <c r="V13" s="18">
        <v>10710.64</v>
      </c>
      <c r="W13" s="18">
        <v>10710.64</v>
      </c>
      <c r="X13" s="18">
        <v>10710.64</v>
      </c>
      <c r="Y13" s="18">
        <v>10710.64</v>
      </c>
      <c r="Z13" s="18">
        <v>10710.64</v>
      </c>
      <c r="AA13" s="18">
        <v>10710.64</v>
      </c>
      <c r="AB13" s="18">
        <v>10710.64</v>
      </c>
      <c r="AC13" s="18">
        <v>10710.64</v>
      </c>
      <c r="AD13" s="18">
        <v>10710.64</v>
      </c>
      <c r="AE13" s="18">
        <v>10710.64</v>
      </c>
      <c r="AF13" s="18">
        <v>10710.64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</row>
    <row r="14" spans="2:59" s="16" customFormat="1" outlineLevel="1" x14ac:dyDescent="0.2">
      <c r="B14" s="19" t="s">
        <v>43</v>
      </c>
      <c r="C14" s="25" t="s">
        <v>62</v>
      </c>
      <c r="D14" s="19" t="s">
        <v>11</v>
      </c>
      <c r="E14" s="15">
        <v>10</v>
      </c>
      <c r="F14" s="16">
        <v>237</v>
      </c>
      <c r="G14" s="16">
        <v>987</v>
      </c>
      <c r="H14" s="17" t="s">
        <v>33</v>
      </c>
      <c r="I14" s="17" t="s">
        <v>19</v>
      </c>
      <c r="J14" s="20">
        <f t="shared" si="2"/>
        <v>472976.80000000022</v>
      </c>
      <c r="K14" s="18">
        <v>0</v>
      </c>
      <c r="L14" s="18">
        <v>0</v>
      </c>
      <c r="M14" s="18">
        <v>23648.84</v>
      </c>
      <c r="N14" s="18">
        <v>23648.84</v>
      </c>
      <c r="O14" s="18">
        <v>23648.84</v>
      </c>
      <c r="P14" s="18">
        <v>23648.84</v>
      </c>
      <c r="Q14" s="18">
        <v>23648.84</v>
      </c>
      <c r="R14" s="18">
        <v>23648.84</v>
      </c>
      <c r="S14" s="18">
        <v>23648.84</v>
      </c>
      <c r="T14" s="18">
        <v>23648.84</v>
      </c>
      <c r="U14" s="18">
        <v>23648.84</v>
      </c>
      <c r="V14" s="18">
        <v>23648.84</v>
      </c>
      <c r="W14" s="18">
        <v>23648.84</v>
      </c>
      <c r="X14" s="18">
        <v>23648.84</v>
      </c>
      <c r="Y14" s="18">
        <v>23648.84</v>
      </c>
      <c r="Z14" s="18">
        <v>23648.84</v>
      </c>
      <c r="AA14" s="18">
        <v>23648.84</v>
      </c>
      <c r="AB14" s="18">
        <v>23648.84</v>
      </c>
      <c r="AC14" s="18">
        <v>23648.84</v>
      </c>
      <c r="AD14" s="18">
        <v>23648.84</v>
      </c>
      <c r="AE14" s="18">
        <v>23648.84</v>
      </c>
      <c r="AF14" s="18">
        <v>23648.84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</row>
    <row r="15" spans="2:59" s="16" customFormat="1" outlineLevel="1" x14ac:dyDescent="0.2">
      <c r="B15" s="19" t="s">
        <v>43</v>
      </c>
      <c r="C15" s="25" t="s">
        <v>62</v>
      </c>
      <c r="D15" s="19" t="s">
        <v>12</v>
      </c>
      <c r="E15" s="15">
        <v>10</v>
      </c>
      <c r="F15" s="16">
        <v>756</v>
      </c>
      <c r="G15" s="16">
        <v>3179</v>
      </c>
      <c r="H15" s="17" t="s">
        <v>34</v>
      </c>
      <c r="I15" s="17" t="s">
        <v>20</v>
      </c>
      <c r="J15" s="20">
        <f t="shared" si="2"/>
        <v>447521.40000000008</v>
      </c>
      <c r="K15" s="18">
        <v>0</v>
      </c>
      <c r="L15" s="18">
        <v>0</v>
      </c>
      <c r="M15" s="18">
        <v>22376.07</v>
      </c>
      <c r="N15" s="18">
        <v>22376.07</v>
      </c>
      <c r="O15" s="18">
        <v>22376.07</v>
      </c>
      <c r="P15" s="18">
        <v>22376.07</v>
      </c>
      <c r="Q15" s="18">
        <v>22376.07</v>
      </c>
      <c r="R15" s="18">
        <v>22376.07</v>
      </c>
      <c r="S15" s="18">
        <v>22376.07</v>
      </c>
      <c r="T15" s="18">
        <v>22376.07</v>
      </c>
      <c r="U15" s="18">
        <v>22376.07</v>
      </c>
      <c r="V15" s="18">
        <v>22376.07</v>
      </c>
      <c r="W15" s="18">
        <v>22376.07</v>
      </c>
      <c r="X15" s="18">
        <v>22376.07</v>
      </c>
      <c r="Y15" s="18">
        <v>22376.07</v>
      </c>
      <c r="Z15" s="18">
        <v>22376.07</v>
      </c>
      <c r="AA15" s="18">
        <v>22376.07</v>
      </c>
      <c r="AB15" s="18">
        <v>22376.07</v>
      </c>
      <c r="AC15" s="18">
        <v>22376.07</v>
      </c>
      <c r="AD15" s="18">
        <v>22376.07</v>
      </c>
      <c r="AE15" s="18">
        <v>22376.07</v>
      </c>
      <c r="AF15" s="18">
        <v>22376.07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</row>
    <row r="16" spans="2:59" s="16" customFormat="1" outlineLevel="1" x14ac:dyDescent="0.2">
      <c r="B16" s="19" t="s">
        <v>43</v>
      </c>
      <c r="C16" s="19" t="s">
        <v>3</v>
      </c>
      <c r="D16" s="19" t="s">
        <v>3</v>
      </c>
      <c r="E16" s="15">
        <v>6</v>
      </c>
      <c r="F16" s="16">
        <v>748</v>
      </c>
      <c r="G16" s="16">
        <v>3953</v>
      </c>
      <c r="H16" s="17" t="s">
        <v>35</v>
      </c>
      <c r="I16" s="17" t="s">
        <v>21</v>
      </c>
      <c r="J16" s="20">
        <f t="shared" si="2"/>
        <v>1965903.1999999997</v>
      </c>
      <c r="K16" s="18">
        <v>0</v>
      </c>
      <c r="L16" s="18">
        <v>0</v>
      </c>
      <c r="M16" s="18">
        <v>245737.9</v>
      </c>
      <c r="N16" s="18">
        <v>245737.9</v>
      </c>
      <c r="O16" s="18">
        <v>245737.9</v>
      </c>
      <c r="P16" s="18">
        <v>245737.9</v>
      </c>
      <c r="Q16" s="18">
        <v>245737.9</v>
      </c>
      <c r="R16" s="18">
        <v>245737.9</v>
      </c>
      <c r="S16" s="18">
        <v>245737.9</v>
      </c>
      <c r="T16" s="18">
        <v>245737.9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</row>
    <row r="17" spans="2:60" s="16" customFormat="1" outlineLevel="1" x14ac:dyDescent="0.2">
      <c r="B17" s="19" t="s">
        <v>43</v>
      </c>
      <c r="C17" s="19" t="s">
        <v>3</v>
      </c>
      <c r="D17" s="19" t="s">
        <v>3</v>
      </c>
      <c r="E17" s="15">
        <v>6</v>
      </c>
      <c r="F17" s="16">
        <v>1</v>
      </c>
      <c r="G17" s="16">
        <v>4275</v>
      </c>
      <c r="H17" s="17" t="s">
        <v>36</v>
      </c>
      <c r="I17" s="17" t="s">
        <v>21</v>
      </c>
      <c r="J17" s="20">
        <f t="shared" si="2"/>
        <v>496608.35000000003</v>
      </c>
      <c r="K17" s="18">
        <v>0</v>
      </c>
      <c r="L17" s="18">
        <v>0</v>
      </c>
      <c r="M17" s="18">
        <v>36658.33</v>
      </c>
      <c r="N17" s="18">
        <v>0</v>
      </c>
      <c r="O17" s="18">
        <v>36658.33</v>
      </c>
      <c r="P17" s="18">
        <v>0</v>
      </c>
      <c r="Q17" s="18">
        <v>36658.33</v>
      </c>
      <c r="R17" s="18">
        <v>0</v>
      </c>
      <c r="S17" s="18">
        <v>36658.33</v>
      </c>
      <c r="T17" s="18">
        <v>0</v>
      </c>
      <c r="U17" s="18">
        <v>116658.33</v>
      </c>
      <c r="V17" s="18">
        <v>0</v>
      </c>
      <c r="W17" s="18">
        <v>116658.33</v>
      </c>
      <c r="X17" s="18">
        <v>0</v>
      </c>
      <c r="Y17" s="18">
        <v>116658.37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</row>
    <row r="18" spans="2:60" s="16" customFormat="1" outlineLevel="1" x14ac:dyDescent="0.2">
      <c r="B18" s="19" t="s">
        <v>43</v>
      </c>
      <c r="C18" s="19" t="s">
        <v>4</v>
      </c>
      <c r="D18" s="19" t="s">
        <v>13</v>
      </c>
      <c r="E18" s="15">
        <v>6</v>
      </c>
      <c r="F18" s="16">
        <v>748</v>
      </c>
      <c r="G18" s="16">
        <v>3953</v>
      </c>
      <c r="H18" s="17" t="s">
        <v>37</v>
      </c>
      <c r="I18" s="17" t="s">
        <v>22</v>
      </c>
      <c r="J18" s="20">
        <f t="shared" si="2"/>
        <v>461176.79999999993</v>
      </c>
      <c r="K18" s="18">
        <v>0</v>
      </c>
      <c r="L18" s="18">
        <v>0</v>
      </c>
      <c r="M18" s="18">
        <v>57647.1</v>
      </c>
      <c r="N18" s="18">
        <v>57647.1</v>
      </c>
      <c r="O18" s="18">
        <v>57647.1</v>
      </c>
      <c r="P18" s="18">
        <v>57647.1</v>
      </c>
      <c r="Q18" s="18">
        <v>57647.1</v>
      </c>
      <c r="R18" s="18">
        <v>57647.1</v>
      </c>
      <c r="S18" s="18">
        <v>57647.1</v>
      </c>
      <c r="T18" s="18">
        <v>57647.1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</row>
    <row r="19" spans="2:60" ht="16" thickBot="1" x14ac:dyDescent="0.25">
      <c r="B19" s="3" t="s">
        <v>0</v>
      </c>
      <c r="C19" s="3"/>
      <c r="D19" s="3"/>
      <c r="E19" s="13"/>
      <c r="F19" s="3"/>
      <c r="G19" s="3"/>
      <c r="H19" s="3"/>
      <c r="I19" s="3"/>
      <c r="J19" s="7">
        <f t="shared" si="2"/>
        <v>77495078.956980914</v>
      </c>
      <c r="K19" s="24">
        <f>SUM(K8,K7,K4)</f>
        <v>15924927.176094271</v>
      </c>
      <c r="L19" s="24">
        <f t="shared" ref="L19:BG19" si="5">SUM(L8,L7,L4)</f>
        <v>0</v>
      </c>
      <c r="M19" s="24">
        <f t="shared" si="5"/>
        <v>772015.09</v>
      </c>
      <c r="N19" s="24">
        <f t="shared" si="5"/>
        <v>852023.41999999993</v>
      </c>
      <c r="O19" s="24">
        <f t="shared" si="5"/>
        <v>772015.09</v>
      </c>
      <c r="P19" s="24">
        <f t="shared" si="5"/>
        <v>540113.11</v>
      </c>
      <c r="Q19" s="24">
        <f t="shared" si="5"/>
        <v>460129.27999999997</v>
      </c>
      <c r="R19" s="24">
        <f t="shared" si="5"/>
        <v>537811.52</v>
      </c>
      <c r="S19" s="24">
        <f t="shared" si="5"/>
        <v>443632.36</v>
      </c>
      <c r="T19" s="24">
        <f t="shared" si="5"/>
        <v>522031.42</v>
      </c>
      <c r="U19" s="24">
        <f t="shared" si="5"/>
        <v>204484.7</v>
      </c>
      <c r="V19" s="24">
        <f t="shared" si="5"/>
        <v>204493.03</v>
      </c>
      <c r="W19" s="24">
        <f t="shared" si="5"/>
        <v>204484.7</v>
      </c>
      <c r="X19" s="24">
        <f t="shared" si="5"/>
        <v>204493.03</v>
      </c>
      <c r="Y19" s="24">
        <f t="shared" si="5"/>
        <v>201801.96</v>
      </c>
      <c r="Z19" s="24">
        <f t="shared" si="5"/>
        <v>201810.33</v>
      </c>
      <c r="AA19" s="24">
        <f t="shared" si="5"/>
        <v>85143.59</v>
      </c>
      <c r="AB19" s="24">
        <f t="shared" si="5"/>
        <v>85143.59</v>
      </c>
      <c r="AC19" s="24">
        <f t="shared" si="5"/>
        <v>82669.48000000001</v>
      </c>
      <c r="AD19" s="24">
        <f t="shared" si="5"/>
        <v>80301.69</v>
      </c>
      <c r="AE19" s="24">
        <f t="shared" si="5"/>
        <v>80301.69</v>
      </c>
      <c r="AF19" s="24">
        <f t="shared" si="5"/>
        <v>80301.69</v>
      </c>
      <c r="AG19" s="24">
        <f t="shared" si="5"/>
        <v>0</v>
      </c>
      <c r="AH19" s="24">
        <f t="shared" si="5"/>
        <v>0</v>
      </c>
      <c r="AI19" s="24">
        <f t="shared" si="5"/>
        <v>5364951.0108866403</v>
      </c>
      <c r="AJ19" s="24">
        <f t="shared" si="5"/>
        <v>0</v>
      </c>
      <c r="AK19" s="24">
        <f t="shared" si="5"/>
        <v>0</v>
      </c>
      <c r="AL19" s="24">
        <f t="shared" si="5"/>
        <v>0</v>
      </c>
      <c r="AM19" s="24">
        <f t="shared" si="5"/>
        <v>0</v>
      </c>
      <c r="AN19" s="24">
        <f t="shared" si="5"/>
        <v>0</v>
      </c>
      <c r="AO19" s="24">
        <f t="shared" si="5"/>
        <v>0</v>
      </c>
      <c r="AP19" s="24">
        <f t="shared" si="5"/>
        <v>0</v>
      </c>
      <c r="AQ19" s="24">
        <f t="shared" si="5"/>
        <v>0</v>
      </c>
      <c r="AR19" s="24">
        <f t="shared" si="5"/>
        <v>0</v>
      </c>
      <c r="AS19" s="24">
        <f t="shared" si="5"/>
        <v>0</v>
      </c>
      <c r="AT19" s="24">
        <f t="shared" si="5"/>
        <v>0</v>
      </c>
      <c r="AU19" s="24">
        <f t="shared" si="5"/>
        <v>24795000</v>
      </c>
      <c r="AV19" s="24">
        <f t="shared" si="5"/>
        <v>0</v>
      </c>
      <c r="AW19" s="24">
        <f t="shared" si="5"/>
        <v>0</v>
      </c>
      <c r="AX19" s="24">
        <f t="shared" si="5"/>
        <v>0</v>
      </c>
      <c r="AY19" s="24">
        <f t="shared" si="5"/>
        <v>0</v>
      </c>
      <c r="AZ19" s="24">
        <f t="shared" si="5"/>
        <v>0</v>
      </c>
      <c r="BA19" s="24">
        <f t="shared" si="5"/>
        <v>0</v>
      </c>
      <c r="BB19" s="24">
        <f t="shared" si="5"/>
        <v>0</v>
      </c>
      <c r="BC19" s="24">
        <f t="shared" si="5"/>
        <v>0</v>
      </c>
      <c r="BD19" s="24">
        <f t="shared" si="5"/>
        <v>0</v>
      </c>
      <c r="BE19" s="24">
        <f t="shared" si="5"/>
        <v>0</v>
      </c>
      <c r="BF19" s="24">
        <f t="shared" si="5"/>
        <v>0</v>
      </c>
      <c r="BG19" s="24">
        <f t="shared" si="5"/>
        <v>24795000</v>
      </c>
    </row>
    <row r="20" spans="2:60" ht="16" thickTop="1" x14ac:dyDescent="0.2">
      <c r="E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2:60" x14ac:dyDescent="0.2">
      <c r="B21" t="s">
        <v>43</v>
      </c>
      <c r="C21" t="s">
        <v>61</v>
      </c>
      <c r="D21" s="21" t="s">
        <v>46</v>
      </c>
      <c r="E21" s="12" t="s">
        <v>59</v>
      </c>
      <c r="F21" s="11" t="s">
        <v>46</v>
      </c>
      <c r="G21" s="11" t="s">
        <v>46</v>
      </c>
      <c r="H21" s="11" t="s">
        <v>46</v>
      </c>
      <c r="I21" s="11" t="s">
        <v>46</v>
      </c>
      <c r="J21" s="2">
        <f>SUM(K21:BG21)</f>
        <v>28762280.73</v>
      </c>
      <c r="K21" s="1">
        <f t="shared" ref="K21:AP21" si="6">SUM(K22:K22)</f>
        <v>28762280.73</v>
      </c>
      <c r="L21" s="1">
        <f t="shared" si="6"/>
        <v>0</v>
      </c>
      <c r="M21" s="1">
        <f t="shared" si="6"/>
        <v>0</v>
      </c>
      <c r="N21" s="1">
        <f t="shared" si="6"/>
        <v>0</v>
      </c>
      <c r="O21" s="1">
        <f t="shared" si="6"/>
        <v>0</v>
      </c>
      <c r="P21" s="1">
        <f t="shared" si="6"/>
        <v>0</v>
      </c>
      <c r="Q21" s="1">
        <f t="shared" si="6"/>
        <v>0</v>
      </c>
      <c r="R21" s="1">
        <f t="shared" si="6"/>
        <v>0</v>
      </c>
      <c r="S21" s="1">
        <f t="shared" si="6"/>
        <v>0</v>
      </c>
      <c r="T21" s="1">
        <f t="shared" si="6"/>
        <v>0</v>
      </c>
      <c r="U21" s="1">
        <f t="shared" si="6"/>
        <v>0</v>
      </c>
      <c r="V21" s="1">
        <f t="shared" si="6"/>
        <v>0</v>
      </c>
      <c r="W21" s="1">
        <f t="shared" si="6"/>
        <v>0</v>
      </c>
      <c r="X21" s="1">
        <f t="shared" si="6"/>
        <v>0</v>
      </c>
      <c r="Y21" s="1">
        <f t="shared" si="6"/>
        <v>0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  <c r="AL21" s="1">
        <f t="shared" si="6"/>
        <v>0</v>
      </c>
      <c r="AM21" s="1">
        <f t="shared" si="6"/>
        <v>0</v>
      </c>
      <c r="AN21" s="1">
        <f t="shared" si="6"/>
        <v>0</v>
      </c>
      <c r="AO21" s="1">
        <f t="shared" si="6"/>
        <v>0</v>
      </c>
      <c r="AP21" s="1">
        <f t="shared" si="6"/>
        <v>0</v>
      </c>
      <c r="AQ21" s="1">
        <f t="shared" ref="AQ21:BG21" si="7">SUM(AQ22:AQ22)</f>
        <v>0</v>
      </c>
      <c r="AR21" s="1">
        <f t="shared" si="7"/>
        <v>0</v>
      </c>
      <c r="AS21" s="1">
        <f t="shared" si="7"/>
        <v>0</v>
      </c>
      <c r="AT21" s="1">
        <f t="shared" si="7"/>
        <v>0</v>
      </c>
      <c r="AU21" s="1">
        <f t="shared" si="7"/>
        <v>0</v>
      </c>
      <c r="AV21" s="1">
        <f t="shared" si="7"/>
        <v>0</v>
      </c>
      <c r="AW21" s="1">
        <f t="shared" si="7"/>
        <v>0</v>
      </c>
      <c r="AX21" s="1">
        <f t="shared" si="7"/>
        <v>0</v>
      </c>
      <c r="AY21" s="1">
        <f t="shared" si="7"/>
        <v>0</v>
      </c>
      <c r="AZ21" s="1">
        <f t="shared" si="7"/>
        <v>0</v>
      </c>
      <c r="BA21" s="1">
        <f t="shared" si="7"/>
        <v>0</v>
      </c>
      <c r="BB21" s="1">
        <f t="shared" si="7"/>
        <v>0</v>
      </c>
      <c r="BC21" s="1">
        <f t="shared" si="7"/>
        <v>0</v>
      </c>
      <c r="BD21" s="1">
        <f t="shared" si="7"/>
        <v>0</v>
      </c>
      <c r="BE21" s="1">
        <f t="shared" si="7"/>
        <v>0</v>
      </c>
      <c r="BF21" s="1">
        <f t="shared" si="7"/>
        <v>0</v>
      </c>
      <c r="BG21" s="1">
        <f t="shared" si="7"/>
        <v>0</v>
      </c>
    </row>
    <row r="22" spans="2:60" s="16" customFormat="1" outlineLevel="1" x14ac:dyDescent="0.2">
      <c r="B22" s="19" t="s">
        <v>43</v>
      </c>
      <c r="C22" s="19" t="s">
        <v>48</v>
      </c>
      <c r="D22" s="19" t="s">
        <v>57</v>
      </c>
      <c r="E22" s="15" t="s">
        <v>59</v>
      </c>
      <c r="F22" s="16">
        <v>1</v>
      </c>
      <c r="G22" s="17" t="s">
        <v>52</v>
      </c>
      <c r="H22" s="17" t="s">
        <v>54</v>
      </c>
      <c r="I22" s="17" t="s">
        <v>49</v>
      </c>
      <c r="J22" s="20">
        <f t="shared" ref="J22" si="8">SUM(K22:BG22)</f>
        <v>28762280.73</v>
      </c>
      <c r="K22" s="18">
        <v>28762280.73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</row>
    <row r="23" spans="2:60" ht="16" thickBot="1" x14ac:dyDescent="0.25">
      <c r="B23" s="3" t="s">
        <v>0</v>
      </c>
      <c r="C23" s="3"/>
      <c r="D23" s="3"/>
      <c r="E23" s="13"/>
      <c r="F23" s="3"/>
      <c r="G23" s="3"/>
      <c r="H23" s="3"/>
      <c r="I23" s="3"/>
      <c r="J23" s="7">
        <f>J21</f>
        <v>28762280.73</v>
      </c>
      <c r="K23" s="24">
        <f>K21</f>
        <v>28762280.73</v>
      </c>
      <c r="L23" s="24">
        <f t="shared" ref="L23:BG23" si="9">L21</f>
        <v>0</v>
      </c>
      <c r="M23" s="24">
        <f t="shared" si="9"/>
        <v>0</v>
      </c>
      <c r="N23" s="24">
        <f t="shared" si="9"/>
        <v>0</v>
      </c>
      <c r="O23" s="24">
        <f t="shared" si="9"/>
        <v>0</v>
      </c>
      <c r="P23" s="24">
        <f t="shared" si="9"/>
        <v>0</v>
      </c>
      <c r="Q23" s="24">
        <f t="shared" si="9"/>
        <v>0</v>
      </c>
      <c r="R23" s="24">
        <f t="shared" si="9"/>
        <v>0</v>
      </c>
      <c r="S23" s="24">
        <f t="shared" si="9"/>
        <v>0</v>
      </c>
      <c r="T23" s="24">
        <f t="shared" si="9"/>
        <v>0</v>
      </c>
      <c r="U23" s="24">
        <f t="shared" si="9"/>
        <v>0</v>
      </c>
      <c r="V23" s="24">
        <f t="shared" si="9"/>
        <v>0</v>
      </c>
      <c r="W23" s="24">
        <f t="shared" si="9"/>
        <v>0</v>
      </c>
      <c r="X23" s="24">
        <f t="shared" si="9"/>
        <v>0</v>
      </c>
      <c r="Y23" s="24">
        <f t="shared" si="9"/>
        <v>0</v>
      </c>
      <c r="Z23" s="24">
        <f t="shared" si="9"/>
        <v>0</v>
      </c>
      <c r="AA23" s="24">
        <f t="shared" si="9"/>
        <v>0</v>
      </c>
      <c r="AB23" s="24">
        <f t="shared" si="9"/>
        <v>0</v>
      </c>
      <c r="AC23" s="24">
        <f t="shared" si="9"/>
        <v>0</v>
      </c>
      <c r="AD23" s="24">
        <f t="shared" si="9"/>
        <v>0</v>
      </c>
      <c r="AE23" s="24">
        <f t="shared" si="9"/>
        <v>0</v>
      </c>
      <c r="AF23" s="24">
        <f t="shared" si="9"/>
        <v>0</v>
      </c>
      <c r="AG23" s="24">
        <f t="shared" si="9"/>
        <v>0</v>
      </c>
      <c r="AH23" s="24">
        <f t="shared" si="9"/>
        <v>0</v>
      </c>
      <c r="AI23" s="24">
        <f t="shared" si="9"/>
        <v>0</v>
      </c>
      <c r="AJ23" s="24">
        <f t="shared" si="9"/>
        <v>0</v>
      </c>
      <c r="AK23" s="24">
        <f t="shared" si="9"/>
        <v>0</v>
      </c>
      <c r="AL23" s="24">
        <f t="shared" si="9"/>
        <v>0</v>
      </c>
      <c r="AM23" s="24">
        <f t="shared" si="9"/>
        <v>0</v>
      </c>
      <c r="AN23" s="24">
        <f t="shared" si="9"/>
        <v>0</v>
      </c>
      <c r="AO23" s="24">
        <f t="shared" si="9"/>
        <v>0</v>
      </c>
      <c r="AP23" s="24">
        <f t="shared" si="9"/>
        <v>0</v>
      </c>
      <c r="AQ23" s="24">
        <f t="shared" si="9"/>
        <v>0</v>
      </c>
      <c r="AR23" s="24">
        <f t="shared" si="9"/>
        <v>0</v>
      </c>
      <c r="AS23" s="24">
        <f t="shared" si="9"/>
        <v>0</v>
      </c>
      <c r="AT23" s="24">
        <f t="shared" si="9"/>
        <v>0</v>
      </c>
      <c r="AU23" s="24">
        <f t="shared" si="9"/>
        <v>0</v>
      </c>
      <c r="AV23" s="24">
        <f t="shared" si="9"/>
        <v>0</v>
      </c>
      <c r="AW23" s="24">
        <f t="shared" si="9"/>
        <v>0</v>
      </c>
      <c r="AX23" s="24">
        <f t="shared" si="9"/>
        <v>0</v>
      </c>
      <c r="AY23" s="24">
        <f t="shared" si="9"/>
        <v>0</v>
      </c>
      <c r="AZ23" s="24">
        <f t="shared" si="9"/>
        <v>0</v>
      </c>
      <c r="BA23" s="24">
        <f t="shared" si="9"/>
        <v>0</v>
      </c>
      <c r="BB23" s="24">
        <f t="shared" si="9"/>
        <v>0</v>
      </c>
      <c r="BC23" s="24">
        <f t="shared" si="9"/>
        <v>0</v>
      </c>
      <c r="BD23" s="24">
        <f t="shared" si="9"/>
        <v>0</v>
      </c>
      <c r="BE23" s="24">
        <f t="shared" si="9"/>
        <v>0</v>
      </c>
      <c r="BF23" s="24">
        <f t="shared" si="9"/>
        <v>0</v>
      </c>
      <c r="BG23" s="24">
        <f t="shared" si="9"/>
        <v>0</v>
      </c>
    </row>
    <row r="24" spans="2:60" ht="16" thickTop="1" x14ac:dyDescent="0.2">
      <c r="E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2:60" x14ac:dyDescent="0.2">
      <c r="B25" t="s">
        <v>63</v>
      </c>
      <c r="C25" t="s">
        <v>63</v>
      </c>
      <c r="D25" s="21" t="s">
        <v>46</v>
      </c>
      <c r="E25" s="12" t="s">
        <v>59</v>
      </c>
      <c r="F25" s="11" t="s">
        <v>46</v>
      </c>
      <c r="G25" s="11" t="s">
        <v>46</v>
      </c>
      <c r="H25" s="11" t="s">
        <v>46</v>
      </c>
      <c r="I25" s="11" t="s">
        <v>46</v>
      </c>
      <c r="J25" s="2">
        <f t="shared" ref="J25:J26" si="10">SUM(K25:BG25)</f>
        <v>59042640.313019089</v>
      </c>
      <c r="K25" s="1">
        <f>SUM(K26:K28)</f>
        <v>21432792.093905725</v>
      </c>
      <c r="L25" s="1">
        <f t="shared" ref="L25:BG25" si="11">SUM(L26:L28)</f>
        <v>0</v>
      </c>
      <c r="M25" s="1">
        <f t="shared" si="11"/>
        <v>0</v>
      </c>
      <c r="N25" s="1">
        <f t="shared" si="11"/>
        <v>4577711.49</v>
      </c>
      <c r="O25" s="1">
        <f t="shared" si="11"/>
        <v>0</v>
      </c>
      <c r="P25" s="1">
        <f t="shared" si="11"/>
        <v>0</v>
      </c>
      <c r="Q25" s="1">
        <f t="shared" si="11"/>
        <v>4426492.5199999996</v>
      </c>
      <c r="R25" s="1">
        <f t="shared" si="11"/>
        <v>0</v>
      </c>
      <c r="S25" s="1">
        <f t="shared" si="11"/>
        <v>0</v>
      </c>
      <c r="T25" s="1">
        <f t="shared" si="11"/>
        <v>4695274.7</v>
      </c>
      <c r="U25" s="1">
        <f t="shared" si="11"/>
        <v>0</v>
      </c>
      <c r="V25" s="1">
        <f t="shared" si="11"/>
        <v>0</v>
      </c>
      <c r="W25" s="1">
        <f t="shared" si="11"/>
        <v>5585287.5699999994</v>
      </c>
      <c r="X25" s="1">
        <f t="shared" si="11"/>
        <v>0</v>
      </c>
      <c r="Y25" s="1">
        <f t="shared" si="11"/>
        <v>0</v>
      </c>
      <c r="Z25" s="1">
        <f t="shared" si="11"/>
        <v>0</v>
      </c>
      <c r="AA25" s="1">
        <f t="shared" si="11"/>
        <v>0</v>
      </c>
      <c r="AB25" s="1">
        <f t="shared" si="11"/>
        <v>0</v>
      </c>
      <c r="AC25" s="1">
        <f t="shared" si="11"/>
        <v>0</v>
      </c>
      <c r="AD25" s="1">
        <f t="shared" si="11"/>
        <v>0</v>
      </c>
      <c r="AE25" s="1">
        <f t="shared" si="11"/>
        <v>0</v>
      </c>
      <c r="AF25" s="1">
        <f t="shared" si="11"/>
        <v>0</v>
      </c>
      <c r="AG25" s="1">
        <f t="shared" si="11"/>
        <v>0</v>
      </c>
      <c r="AH25" s="1">
        <f t="shared" si="11"/>
        <v>0</v>
      </c>
      <c r="AI25" s="1">
        <f t="shared" si="11"/>
        <v>18325081.939113364</v>
      </c>
      <c r="AJ25" s="1">
        <f t="shared" si="11"/>
        <v>0</v>
      </c>
      <c r="AK25" s="1">
        <f t="shared" si="11"/>
        <v>0</v>
      </c>
      <c r="AL25" s="1">
        <f t="shared" si="11"/>
        <v>0</v>
      </c>
      <c r="AM25" s="1">
        <f t="shared" si="11"/>
        <v>0</v>
      </c>
      <c r="AN25" s="1">
        <f t="shared" si="11"/>
        <v>0</v>
      </c>
      <c r="AO25" s="1">
        <f t="shared" si="11"/>
        <v>0</v>
      </c>
      <c r="AP25" s="1">
        <f t="shared" si="11"/>
        <v>0</v>
      </c>
      <c r="AQ25" s="1">
        <f t="shared" si="11"/>
        <v>0</v>
      </c>
      <c r="AR25" s="1">
        <f t="shared" si="11"/>
        <v>0</v>
      </c>
      <c r="AS25" s="1">
        <f t="shared" si="11"/>
        <v>0</v>
      </c>
      <c r="AT25" s="1">
        <f t="shared" si="11"/>
        <v>0</v>
      </c>
      <c r="AU25" s="1">
        <f t="shared" si="11"/>
        <v>0</v>
      </c>
      <c r="AV25" s="1">
        <f t="shared" si="11"/>
        <v>0</v>
      </c>
      <c r="AW25" s="1">
        <f t="shared" si="11"/>
        <v>0</v>
      </c>
      <c r="AX25" s="1">
        <f t="shared" si="11"/>
        <v>0</v>
      </c>
      <c r="AY25" s="1">
        <f t="shared" si="11"/>
        <v>0</v>
      </c>
      <c r="AZ25" s="1">
        <f t="shared" si="11"/>
        <v>0</v>
      </c>
      <c r="BA25" s="1">
        <f t="shared" si="11"/>
        <v>0</v>
      </c>
      <c r="BB25" s="1">
        <f t="shared" si="11"/>
        <v>0</v>
      </c>
      <c r="BC25" s="1">
        <f t="shared" si="11"/>
        <v>0</v>
      </c>
      <c r="BD25" s="1">
        <f t="shared" si="11"/>
        <v>0</v>
      </c>
      <c r="BE25" s="1">
        <f t="shared" si="11"/>
        <v>0</v>
      </c>
      <c r="BF25" s="1">
        <f t="shared" si="11"/>
        <v>0</v>
      </c>
      <c r="BG25" s="1">
        <f t="shared" si="11"/>
        <v>0</v>
      </c>
    </row>
    <row r="26" spans="2:60" s="16" customFormat="1" outlineLevel="1" x14ac:dyDescent="0.2">
      <c r="B26" s="19" t="s">
        <v>43</v>
      </c>
      <c r="C26" s="19" t="s">
        <v>63</v>
      </c>
      <c r="D26" s="19" t="s">
        <v>57</v>
      </c>
      <c r="E26" s="15" t="s">
        <v>59</v>
      </c>
      <c r="F26" s="16">
        <v>1</v>
      </c>
      <c r="G26" s="17" t="s">
        <v>52</v>
      </c>
      <c r="H26" s="17" t="s">
        <v>54</v>
      </c>
      <c r="I26" s="17" t="s">
        <v>49</v>
      </c>
      <c r="J26" s="20">
        <f t="shared" si="10"/>
        <v>11239020</v>
      </c>
      <c r="K26" s="18">
        <v>0</v>
      </c>
      <c r="L26" s="18">
        <v>0</v>
      </c>
      <c r="M26" s="18">
        <v>0</v>
      </c>
      <c r="N26" s="18">
        <v>2809755</v>
      </c>
      <c r="O26" s="18">
        <v>0</v>
      </c>
      <c r="P26" s="18">
        <v>0</v>
      </c>
      <c r="Q26" s="18">
        <v>2809755</v>
      </c>
      <c r="R26" s="18">
        <v>0</v>
      </c>
      <c r="S26" s="18">
        <v>0</v>
      </c>
      <c r="T26" s="18">
        <v>2809755</v>
      </c>
      <c r="U26" s="18">
        <v>0</v>
      </c>
      <c r="V26" s="18">
        <v>0</v>
      </c>
      <c r="W26" s="18">
        <v>2809755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</row>
    <row r="27" spans="2:60" s="16" customFormat="1" outlineLevel="1" x14ac:dyDescent="0.2">
      <c r="B27" s="19" t="s">
        <v>43</v>
      </c>
      <c r="C27" s="19" t="s">
        <v>64</v>
      </c>
      <c r="D27" s="19" t="s">
        <v>56</v>
      </c>
      <c r="E27" s="15" t="s">
        <v>59</v>
      </c>
      <c r="F27" s="16">
        <v>1</v>
      </c>
      <c r="G27" s="17" t="s">
        <v>53</v>
      </c>
      <c r="H27" s="17" t="s">
        <v>55</v>
      </c>
      <c r="I27" s="17" t="s">
        <v>50</v>
      </c>
      <c r="J27" s="20">
        <f t="shared" ref="J27:J28" si="12">SUM(K27:BG27)</f>
        <v>44560980.313019089</v>
      </c>
      <c r="K27" s="18">
        <v>21432792.093905725</v>
      </c>
      <c r="L27" s="18">
        <v>0</v>
      </c>
      <c r="M27" s="18">
        <v>0</v>
      </c>
      <c r="N27" s="18">
        <v>957296.49000000022</v>
      </c>
      <c r="O27" s="18">
        <v>0</v>
      </c>
      <c r="P27" s="18">
        <v>0</v>
      </c>
      <c r="Q27" s="18">
        <v>806077.51999999955</v>
      </c>
      <c r="R27" s="18">
        <v>0</v>
      </c>
      <c r="S27" s="18">
        <v>0</v>
      </c>
      <c r="T27" s="18">
        <v>1074859.7000000002</v>
      </c>
      <c r="U27" s="18">
        <v>0</v>
      </c>
      <c r="V27" s="18">
        <v>0</v>
      </c>
      <c r="W27" s="18">
        <v>1964872.5699999994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18325081.939113364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</row>
    <row r="28" spans="2:60" s="16" customFormat="1" outlineLevel="1" x14ac:dyDescent="0.2">
      <c r="B28" s="19" t="s">
        <v>43</v>
      </c>
      <c r="C28" s="19" t="s">
        <v>65</v>
      </c>
      <c r="D28" s="19" t="s">
        <v>56</v>
      </c>
      <c r="E28" s="15" t="s">
        <v>59</v>
      </c>
      <c r="F28" s="16">
        <v>1</v>
      </c>
      <c r="G28" s="17" t="s">
        <v>53</v>
      </c>
      <c r="H28" s="17" t="s">
        <v>55</v>
      </c>
      <c r="I28" s="17" t="s">
        <v>50</v>
      </c>
      <c r="J28" s="20">
        <f t="shared" si="12"/>
        <v>3242640</v>
      </c>
      <c r="K28" s="18">
        <v>0</v>
      </c>
      <c r="L28" s="18">
        <v>0</v>
      </c>
      <c r="M28" s="18">
        <v>0</v>
      </c>
      <c r="N28" s="18">
        <v>810660</v>
      </c>
      <c r="O28" s="18">
        <v>0</v>
      </c>
      <c r="P28" s="18">
        <v>0</v>
      </c>
      <c r="Q28" s="18">
        <v>810660</v>
      </c>
      <c r="R28" s="18">
        <v>0</v>
      </c>
      <c r="S28" s="18">
        <v>0</v>
      </c>
      <c r="T28" s="18">
        <v>810660</v>
      </c>
      <c r="U28" s="18">
        <v>0</v>
      </c>
      <c r="V28" s="18">
        <v>0</v>
      </c>
      <c r="W28" s="18">
        <v>810660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</row>
    <row r="29" spans="2:60" ht="16" thickBot="1" x14ac:dyDescent="0.25">
      <c r="B29" s="3" t="s">
        <v>0</v>
      </c>
      <c r="C29" s="3"/>
      <c r="D29" s="3"/>
      <c r="E29" s="13"/>
      <c r="F29" s="3"/>
      <c r="G29" s="3"/>
      <c r="H29" s="3"/>
      <c r="I29" s="3"/>
      <c r="J29" s="7">
        <f>J25</f>
        <v>59042640.313019089</v>
      </c>
      <c r="K29" s="24">
        <f>K25</f>
        <v>21432792.093905725</v>
      </c>
      <c r="L29" s="24">
        <f t="shared" ref="L29:BG29" si="13">L25</f>
        <v>0</v>
      </c>
      <c r="M29" s="24">
        <f t="shared" si="13"/>
        <v>0</v>
      </c>
      <c r="N29" s="24">
        <f t="shared" si="13"/>
        <v>4577711.49</v>
      </c>
      <c r="O29" s="24">
        <f t="shared" si="13"/>
        <v>0</v>
      </c>
      <c r="P29" s="24">
        <f t="shared" si="13"/>
        <v>0</v>
      </c>
      <c r="Q29" s="24">
        <f t="shared" si="13"/>
        <v>4426492.5199999996</v>
      </c>
      <c r="R29" s="24">
        <f t="shared" si="13"/>
        <v>0</v>
      </c>
      <c r="S29" s="24">
        <f t="shared" si="13"/>
        <v>0</v>
      </c>
      <c r="T29" s="24">
        <f t="shared" si="13"/>
        <v>4695274.7</v>
      </c>
      <c r="U29" s="24">
        <f t="shared" si="13"/>
        <v>0</v>
      </c>
      <c r="V29" s="24">
        <f t="shared" si="13"/>
        <v>0</v>
      </c>
      <c r="W29" s="24">
        <f t="shared" si="13"/>
        <v>5585287.5699999994</v>
      </c>
      <c r="X29" s="24">
        <f t="shared" si="13"/>
        <v>0</v>
      </c>
      <c r="Y29" s="24">
        <f t="shared" si="13"/>
        <v>0</v>
      </c>
      <c r="Z29" s="24">
        <f t="shared" si="13"/>
        <v>0</v>
      </c>
      <c r="AA29" s="24">
        <f t="shared" si="13"/>
        <v>0</v>
      </c>
      <c r="AB29" s="24">
        <f t="shared" si="13"/>
        <v>0</v>
      </c>
      <c r="AC29" s="24">
        <f t="shared" si="13"/>
        <v>0</v>
      </c>
      <c r="AD29" s="24">
        <f t="shared" si="13"/>
        <v>0</v>
      </c>
      <c r="AE29" s="24">
        <f t="shared" si="13"/>
        <v>0</v>
      </c>
      <c r="AF29" s="24">
        <f t="shared" si="13"/>
        <v>0</v>
      </c>
      <c r="AG29" s="24">
        <f t="shared" si="13"/>
        <v>0</v>
      </c>
      <c r="AH29" s="24">
        <f t="shared" si="13"/>
        <v>0</v>
      </c>
      <c r="AI29" s="24">
        <f t="shared" si="13"/>
        <v>18325081.939113364</v>
      </c>
      <c r="AJ29" s="24">
        <f t="shared" si="13"/>
        <v>0</v>
      </c>
      <c r="AK29" s="24">
        <f t="shared" si="13"/>
        <v>0</v>
      </c>
      <c r="AL29" s="24">
        <f t="shared" si="13"/>
        <v>0</v>
      </c>
      <c r="AM29" s="24">
        <f t="shared" si="13"/>
        <v>0</v>
      </c>
      <c r="AN29" s="24">
        <f t="shared" si="13"/>
        <v>0</v>
      </c>
      <c r="AO29" s="24">
        <f t="shared" si="13"/>
        <v>0</v>
      </c>
      <c r="AP29" s="24">
        <f t="shared" si="13"/>
        <v>0</v>
      </c>
      <c r="AQ29" s="24">
        <f t="shared" si="13"/>
        <v>0</v>
      </c>
      <c r="AR29" s="24">
        <f t="shared" si="13"/>
        <v>0</v>
      </c>
      <c r="AS29" s="24">
        <f t="shared" si="13"/>
        <v>0</v>
      </c>
      <c r="AT29" s="24">
        <f t="shared" si="13"/>
        <v>0</v>
      </c>
      <c r="AU29" s="24">
        <f t="shared" si="13"/>
        <v>0</v>
      </c>
      <c r="AV29" s="24">
        <f t="shared" si="13"/>
        <v>0</v>
      </c>
      <c r="AW29" s="24">
        <f t="shared" si="13"/>
        <v>0</v>
      </c>
      <c r="AX29" s="24">
        <f t="shared" si="13"/>
        <v>0</v>
      </c>
      <c r="AY29" s="24">
        <f t="shared" si="13"/>
        <v>0</v>
      </c>
      <c r="AZ29" s="24">
        <f t="shared" si="13"/>
        <v>0</v>
      </c>
      <c r="BA29" s="24">
        <f t="shared" si="13"/>
        <v>0</v>
      </c>
      <c r="BB29" s="24">
        <f t="shared" si="13"/>
        <v>0</v>
      </c>
      <c r="BC29" s="24">
        <f t="shared" si="13"/>
        <v>0</v>
      </c>
      <c r="BD29" s="24">
        <f t="shared" si="13"/>
        <v>0</v>
      </c>
      <c r="BE29" s="24">
        <f t="shared" si="13"/>
        <v>0</v>
      </c>
      <c r="BF29" s="24">
        <f t="shared" si="13"/>
        <v>0</v>
      </c>
      <c r="BG29" s="24">
        <f t="shared" si="13"/>
        <v>0</v>
      </c>
    </row>
    <row r="30" spans="2:60" ht="16" thickTop="1" x14ac:dyDescent="0.2">
      <c r="F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2:60" ht="16" thickBot="1" x14ac:dyDescent="0.25">
      <c r="B31" s="8" t="s">
        <v>7</v>
      </c>
      <c r="C31" s="8"/>
      <c r="D31" s="8"/>
      <c r="E31" s="14"/>
      <c r="F31" s="8"/>
      <c r="G31" s="8"/>
      <c r="H31" s="8"/>
      <c r="I31" s="8"/>
      <c r="J31" s="22">
        <f>J23+J19+J29</f>
        <v>165300000</v>
      </c>
      <c r="K31" s="9">
        <f>K23+K19+K29</f>
        <v>66119999.999999993</v>
      </c>
      <c r="L31" s="9">
        <f t="shared" ref="L31:BG31" si="14">L23+L19+L29</f>
        <v>0</v>
      </c>
      <c r="M31" s="9">
        <f t="shared" si="14"/>
        <v>772015.09</v>
      </c>
      <c r="N31" s="9">
        <f t="shared" si="14"/>
        <v>5429734.9100000001</v>
      </c>
      <c r="O31" s="9">
        <f t="shared" si="14"/>
        <v>772015.09</v>
      </c>
      <c r="P31" s="9">
        <f t="shared" si="14"/>
        <v>540113.11</v>
      </c>
      <c r="Q31" s="9">
        <f t="shared" si="14"/>
        <v>4886621.8</v>
      </c>
      <c r="R31" s="9">
        <f t="shared" si="14"/>
        <v>537811.52</v>
      </c>
      <c r="S31" s="9">
        <f t="shared" si="14"/>
        <v>443632.36</v>
      </c>
      <c r="T31" s="9">
        <f t="shared" si="14"/>
        <v>5217306.12</v>
      </c>
      <c r="U31" s="9">
        <f t="shared" si="14"/>
        <v>204484.7</v>
      </c>
      <c r="V31" s="9">
        <f t="shared" si="14"/>
        <v>204493.03</v>
      </c>
      <c r="W31" s="9">
        <f t="shared" si="14"/>
        <v>5789772.2699999996</v>
      </c>
      <c r="X31" s="9">
        <f t="shared" si="14"/>
        <v>204493.03</v>
      </c>
      <c r="Y31" s="9">
        <f t="shared" si="14"/>
        <v>201801.96</v>
      </c>
      <c r="Z31" s="9">
        <f t="shared" si="14"/>
        <v>201810.33</v>
      </c>
      <c r="AA31" s="9">
        <f t="shared" si="14"/>
        <v>85143.59</v>
      </c>
      <c r="AB31" s="9">
        <f t="shared" si="14"/>
        <v>85143.59</v>
      </c>
      <c r="AC31" s="9">
        <f t="shared" si="14"/>
        <v>82669.48000000001</v>
      </c>
      <c r="AD31" s="9">
        <f t="shared" si="14"/>
        <v>80301.69</v>
      </c>
      <c r="AE31" s="9">
        <f t="shared" si="14"/>
        <v>80301.69</v>
      </c>
      <c r="AF31" s="9">
        <f t="shared" si="14"/>
        <v>80301.69</v>
      </c>
      <c r="AG31" s="9">
        <f t="shared" si="14"/>
        <v>0</v>
      </c>
      <c r="AH31" s="9">
        <f t="shared" si="14"/>
        <v>0</v>
      </c>
      <c r="AI31" s="9">
        <f t="shared" si="14"/>
        <v>23690032.950000003</v>
      </c>
      <c r="AJ31" s="9">
        <f t="shared" si="14"/>
        <v>0</v>
      </c>
      <c r="AK31" s="9">
        <f t="shared" si="14"/>
        <v>0</v>
      </c>
      <c r="AL31" s="9">
        <f t="shared" si="14"/>
        <v>0</v>
      </c>
      <c r="AM31" s="9">
        <f t="shared" si="14"/>
        <v>0</v>
      </c>
      <c r="AN31" s="9">
        <f t="shared" si="14"/>
        <v>0</v>
      </c>
      <c r="AO31" s="9">
        <f t="shared" si="14"/>
        <v>0</v>
      </c>
      <c r="AP31" s="9">
        <f t="shared" si="14"/>
        <v>0</v>
      </c>
      <c r="AQ31" s="9">
        <f t="shared" si="14"/>
        <v>0</v>
      </c>
      <c r="AR31" s="9">
        <f t="shared" si="14"/>
        <v>0</v>
      </c>
      <c r="AS31" s="9">
        <f t="shared" si="14"/>
        <v>0</v>
      </c>
      <c r="AT31" s="9">
        <f t="shared" si="14"/>
        <v>0</v>
      </c>
      <c r="AU31" s="9">
        <f t="shared" si="14"/>
        <v>24795000</v>
      </c>
      <c r="AV31" s="9">
        <f t="shared" si="14"/>
        <v>0</v>
      </c>
      <c r="AW31" s="9">
        <f t="shared" si="14"/>
        <v>0</v>
      </c>
      <c r="AX31" s="9">
        <f t="shared" si="14"/>
        <v>0</v>
      </c>
      <c r="AY31" s="9">
        <f t="shared" si="14"/>
        <v>0</v>
      </c>
      <c r="AZ31" s="9">
        <f t="shared" si="14"/>
        <v>0</v>
      </c>
      <c r="BA31" s="9">
        <f t="shared" si="14"/>
        <v>0</v>
      </c>
      <c r="BB31" s="9">
        <f t="shared" si="14"/>
        <v>0</v>
      </c>
      <c r="BC31" s="9">
        <f t="shared" si="14"/>
        <v>0</v>
      </c>
      <c r="BD31" s="9">
        <f t="shared" si="14"/>
        <v>0</v>
      </c>
      <c r="BE31" s="9">
        <f t="shared" si="14"/>
        <v>0</v>
      </c>
      <c r="BF31" s="9">
        <f t="shared" si="14"/>
        <v>0</v>
      </c>
      <c r="BG31" s="9">
        <f t="shared" si="14"/>
        <v>24795000</v>
      </c>
    </row>
    <row r="32" spans="2:60" ht="16" thickTop="1" x14ac:dyDescent="0.2">
      <c r="K32" s="4">
        <f>K31/$J31</f>
        <v>0.39999999999999997</v>
      </c>
      <c r="L32" s="4">
        <f t="shared" ref="L32:BG32" si="15">L31/$J31</f>
        <v>0</v>
      </c>
      <c r="M32" s="4">
        <f t="shared" si="15"/>
        <v>4.6703877192982458E-3</v>
      </c>
      <c r="N32" s="4">
        <f t="shared" si="15"/>
        <v>3.2847761101028432E-2</v>
      </c>
      <c r="O32" s="4">
        <f t="shared" si="15"/>
        <v>4.6703877192982458E-3</v>
      </c>
      <c r="P32" s="4">
        <f t="shared" si="15"/>
        <v>3.2674719298245612E-3</v>
      </c>
      <c r="Q32" s="4">
        <f t="shared" si="15"/>
        <v>2.9562140350877193E-2</v>
      </c>
      <c r="R32" s="4">
        <f t="shared" si="15"/>
        <v>3.2535482153660013E-3</v>
      </c>
      <c r="S32" s="4">
        <f t="shared" si="15"/>
        <v>2.6838013309134906E-3</v>
      </c>
      <c r="T32" s="4">
        <f t="shared" si="15"/>
        <v>3.156265045372051E-2</v>
      </c>
      <c r="U32" s="4">
        <f t="shared" si="15"/>
        <v>1.2370520266182699E-3</v>
      </c>
      <c r="V32" s="4">
        <f t="shared" si="15"/>
        <v>1.2371024198427102E-3</v>
      </c>
      <c r="W32" s="4">
        <f t="shared" si="15"/>
        <v>3.502584555353902E-2</v>
      </c>
      <c r="X32" s="4">
        <f t="shared" si="15"/>
        <v>1.2371024198427102E-3</v>
      </c>
      <c r="Y32" s="4">
        <f t="shared" si="15"/>
        <v>1.2208225045372051E-3</v>
      </c>
      <c r="Z32" s="4">
        <f t="shared" si="15"/>
        <v>1.2208731397459164E-3</v>
      </c>
      <c r="AA32" s="4">
        <f t="shared" si="15"/>
        <v>5.1508523895946764E-4</v>
      </c>
      <c r="AB32" s="4">
        <f t="shared" si="15"/>
        <v>5.1508523895946764E-4</v>
      </c>
      <c r="AC32" s="4">
        <f t="shared" si="15"/>
        <v>5.0011784633998801E-4</v>
      </c>
      <c r="AD32" s="4">
        <f t="shared" si="15"/>
        <v>4.8579364791288566E-4</v>
      </c>
      <c r="AE32" s="4">
        <f t="shared" si="15"/>
        <v>4.8579364791288566E-4</v>
      </c>
      <c r="AF32" s="4">
        <f t="shared" si="15"/>
        <v>4.8579364791288566E-4</v>
      </c>
      <c r="AG32" s="4">
        <f t="shared" si="15"/>
        <v>0</v>
      </c>
      <c r="AH32" s="4">
        <f t="shared" si="15"/>
        <v>0</v>
      </c>
      <c r="AI32" s="4">
        <f t="shared" si="15"/>
        <v>0.14331538384754994</v>
      </c>
      <c r="AJ32" s="4">
        <f t="shared" si="15"/>
        <v>0</v>
      </c>
      <c r="AK32" s="4">
        <f t="shared" si="15"/>
        <v>0</v>
      </c>
      <c r="AL32" s="4">
        <f t="shared" si="15"/>
        <v>0</v>
      </c>
      <c r="AM32" s="4">
        <f t="shared" si="15"/>
        <v>0</v>
      </c>
      <c r="AN32" s="4">
        <f t="shared" si="15"/>
        <v>0</v>
      </c>
      <c r="AO32" s="4">
        <f t="shared" si="15"/>
        <v>0</v>
      </c>
      <c r="AP32" s="4">
        <f t="shared" si="15"/>
        <v>0</v>
      </c>
      <c r="AQ32" s="4">
        <f t="shared" si="15"/>
        <v>0</v>
      </c>
      <c r="AR32" s="4">
        <f t="shared" si="15"/>
        <v>0</v>
      </c>
      <c r="AS32" s="4">
        <f t="shared" si="15"/>
        <v>0</v>
      </c>
      <c r="AT32" s="4">
        <f t="shared" si="15"/>
        <v>0</v>
      </c>
      <c r="AU32" s="4">
        <f t="shared" si="15"/>
        <v>0.15</v>
      </c>
      <c r="AV32" s="4">
        <f t="shared" si="15"/>
        <v>0</v>
      </c>
      <c r="AW32" s="4">
        <f t="shared" si="15"/>
        <v>0</v>
      </c>
      <c r="AX32" s="4">
        <f t="shared" si="15"/>
        <v>0</v>
      </c>
      <c r="AY32" s="4">
        <f t="shared" si="15"/>
        <v>0</v>
      </c>
      <c r="AZ32" s="4">
        <f t="shared" si="15"/>
        <v>0</v>
      </c>
      <c r="BA32" s="4">
        <f t="shared" si="15"/>
        <v>0</v>
      </c>
      <c r="BB32" s="4">
        <f t="shared" si="15"/>
        <v>0</v>
      </c>
      <c r="BC32" s="4">
        <f t="shared" si="15"/>
        <v>0</v>
      </c>
      <c r="BD32" s="4">
        <f t="shared" si="15"/>
        <v>0</v>
      </c>
      <c r="BE32" s="4">
        <f t="shared" si="15"/>
        <v>0</v>
      </c>
      <c r="BF32" s="4">
        <f t="shared" si="15"/>
        <v>0</v>
      </c>
      <c r="BG32" s="4">
        <f t="shared" si="15"/>
        <v>0.15</v>
      </c>
    </row>
    <row r="33" spans="5:23" x14ac:dyDescent="0.2">
      <c r="E33" s="10"/>
      <c r="F33" s="10"/>
      <c r="G33" s="10"/>
      <c r="H33" s="10"/>
      <c r="I33" s="10"/>
    </row>
    <row r="34" spans="5:23" x14ac:dyDescent="0.2">
      <c r="E34" s="10"/>
      <c r="F34" s="10"/>
      <c r="G34" s="10"/>
      <c r="H34" s="10"/>
      <c r="I34" s="10"/>
    </row>
    <row r="35" spans="5:23" x14ac:dyDescent="0.2">
      <c r="E35" s="10"/>
      <c r="F35" s="10"/>
      <c r="G35" s="10"/>
      <c r="H35" s="10"/>
      <c r="I35" s="10"/>
    </row>
    <row r="36" spans="5:23" x14ac:dyDescent="0.2">
      <c r="I36" s="27" t="s">
        <v>67</v>
      </c>
      <c r="L36" s="1">
        <f>$N26/3</f>
        <v>936585</v>
      </c>
      <c r="M36" s="1">
        <f>$N26/3</f>
        <v>936585</v>
      </c>
      <c r="N36" s="1">
        <f>$N26/3</f>
        <v>936585</v>
      </c>
      <c r="O36" s="1">
        <f>$N26/3</f>
        <v>936585</v>
      </c>
      <c r="P36" s="1">
        <f t="shared" ref="P36:W36" si="16">$N26/3</f>
        <v>936585</v>
      </c>
      <c r="Q36" s="1">
        <f t="shared" si="16"/>
        <v>936585</v>
      </c>
      <c r="R36" s="1">
        <f t="shared" si="16"/>
        <v>936585</v>
      </c>
      <c r="S36" s="1">
        <f t="shared" si="16"/>
        <v>936585</v>
      </c>
      <c r="T36" s="1">
        <f t="shared" si="16"/>
        <v>936585</v>
      </c>
      <c r="U36" s="1">
        <f t="shared" si="16"/>
        <v>936585</v>
      </c>
      <c r="V36" s="1">
        <f t="shared" si="16"/>
        <v>936585</v>
      </c>
      <c r="W36" s="1">
        <f t="shared" si="16"/>
        <v>936585</v>
      </c>
    </row>
    <row r="37" spans="5:23" x14ac:dyDescent="0.2">
      <c r="I37" s="26" t="s">
        <v>66</v>
      </c>
      <c r="L37" s="1">
        <f>$N27/3</f>
        <v>319098.83000000007</v>
      </c>
      <c r="M37" s="1">
        <f>$N27/3</f>
        <v>319098.83000000007</v>
      </c>
      <c r="N37" s="1">
        <f>$N27/3</f>
        <v>319098.83000000007</v>
      </c>
      <c r="O37" s="1">
        <f>$Q27/3</f>
        <v>268692.50666666654</v>
      </c>
      <c r="P37" s="1">
        <f t="shared" ref="P37:Q37" si="17">$Q27/3</f>
        <v>268692.50666666654</v>
      </c>
      <c r="Q37" s="1">
        <f t="shared" si="17"/>
        <v>268692.50666666654</v>
      </c>
      <c r="R37" s="1">
        <f>$T27/3</f>
        <v>358286.56666666671</v>
      </c>
      <c r="S37" s="1">
        <f t="shared" ref="S37:T37" si="18">$T27/3</f>
        <v>358286.56666666671</v>
      </c>
      <c r="T37" s="1">
        <f t="shared" si="18"/>
        <v>358286.56666666671</v>
      </c>
      <c r="U37" s="1">
        <f>$W27/3</f>
        <v>654957.52333333308</v>
      </c>
      <c r="V37" s="1">
        <f t="shared" ref="V37:W37" si="19">$W27/3</f>
        <v>654957.52333333308</v>
      </c>
      <c r="W37" s="1">
        <f t="shared" si="19"/>
        <v>654957.52333333308</v>
      </c>
    </row>
    <row r="38" spans="5:23" x14ac:dyDescent="0.2">
      <c r="L38" s="1">
        <f>$N28/3</f>
        <v>270220</v>
      </c>
      <c r="M38" s="1">
        <f t="shared" ref="M38:W38" si="20">$N28/3</f>
        <v>270220</v>
      </c>
      <c r="N38" s="1">
        <f t="shared" si="20"/>
        <v>270220</v>
      </c>
      <c r="O38" s="1">
        <f t="shared" si="20"/>
        <v>270220</v>
      </c>
      <c r="P38" s="1">
        <f t="shared" si="20"/>
        <v>270220</v>
      </c>
      <c r="Q38" s="1">
        <f t="shared" si="20"/>
        <v>270220</v>
      </c>
      <c r="R38" s="1">
        <f t="shared" si="20"/>
        <v>270220</v>
      </c>
      <c r="S38" s="1">
        <f t="shared" si="20"/>
        <v>270220</v>
      </c>
      <c r="T38" s="1">
        <f t="shared" si="20"/>
        <v>270220</v>
      </c>
      <c r="U38" s="1">
        <f t="shared" si="20"/>
        <v>270220</v>
      </c>
      <c r="V38" s="1">
        <f t="shared" si="20"/>
        <v>270220</v>
      </c>
      <c r="W38" s="1">
        <f t="shared" si="20"/>
        <v>270220</v>
      </c>
    </row>
    <row r="39" spans="5:23" x14ac:dyDescent="0.2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5:23" x14ac:dyDescent="0.2"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5:23" x14ac:dyDescent="0.2"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5:23" x14ac:dyDescent="0.2"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ignoredErrors>
    <ignoredError sqref="K4:BG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AD43DEBE5F94985BAF5880255A369" ma:contentTypeVersion="17" ma:contentTypeDescription="Create a new document." ma:contentTypeScope="" ma:versionID="2fb35b598400d5f193579b3bf1feff08">
  <xsd:schema xmlns:xsd="http://www.w3.org/2001/XMLSchema" xmlns:xs="http://www.w3.org/2001/XMLSchema" xmlns:p="http://schemas.microsoft.com/office/2006/metadata/properties" xmlns:ns3="5a6c962e-89a5-491f-bc13-c4fa6b6d71f2" xmlns:ns4="8f7f4e79-e3ee-400b-8307-611f30480393" targetNamespace="http://schemas.microsoft.com/office/2006/metadata/properties" ma:root="true" ma:fieldsID="8bbe51196fddd356df0d3ff3527ead97" ns3:_="" ns4:_="">
    <xsd:import namespace="5a6c962e-89a5-491f-bc13-c4fa6b6d71f2"/>
    <xsd:import namespace="8f7f4e79-e3ee-400b-8307-611f3048039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LengthInSeconds" minOccurs="0"/>
                <xsd:element ref="ns4:MediaServiceSearchProperties" minOccurs="0"/>
                <xsd:element ref="ns4:MediaServiceBillingMetadata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c962e-89a5-491f-bc13-c4fa6b6d71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f4e79-e3ee-400b-8307-611f304803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7f4e79-e3ee-400b-8307-611f30480393" xsi:nil="true"/>
  </documentManagement>
</p:properties>
</file>

<file path=customXml/itemProps1.xml><?xml version="1.0" encoding="utf-8"?>
<ds:datastoreItem xmlns:ds="http://schemas.openxmlformats.org/officeDocument/2006/customXml" ds:itemID="{9842BADD-DE89-47D9-B611-88F6E4A2D1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c962e-89a5-491f-bc13-c4fa6b6d71f2"/>
    <ds:schemaRef ds:uri="8f7f4e79-e3ee-400b-8307-611f304803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ACE698-005D-404B-9AED-9E97E91093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326D6-065C-406F-8763-8F7641131D26}">
  <ds:schemaRefs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5a6c962e-89a5-491f-bc13-c4fa6b6d71f2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f7f4e79-e3ee-400b-8307-611f30480393"/>
  </ds:schemaRefs>
</ds:datastoreItem>
</file>

<file path=docMetadata/LabelInfo.xml><?xml version="1.0" encoding="utf-8"?>
<clbl:labelList xmlns:clbl="http://schemas.microsoft.com/office/2020/mipLabelMetadata">
  <clbl:label id="{4ba98965-3a24-460d-b0e1-6f272f1d0f46}" enabled="1" method="Privileged" siteId="{85b28421-d45a-4b07-889d-24b528c7f2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de pagamentos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Barros</dc:creator>
  <cp:lastModifiedBy>Silvio Antonio de Castro</cp:lastModifiedBy>
  <dcterms:created xsi:type="dcterms:W3CDTF">2026-07-15T17:31:52Z</dcterms:created>
  <dcterms:modified xsi:type="dcterms:W3CDTF">2026-08-04T10:27:25Z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0x0101009BCAD43DEBE5F94985BAF5880255A369</vt:lpwstr>
  </property>
</Properties>
</file>