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ilvio/Library/CloudStorage/GoogleDrive-eucastrosilvio@gmail.com/Meu Drive/1A Grupo Tigon Drive/Grupo Tigon Estratégico/Vtal/"/>
    </mc:Choice>
  </mc:AlternateContent>
  <xr:revisionPtr revIDLastSave="0" documentId="13_ncr:1_{1D28D786-65CD-4A4E-9BEA-D6DD5A88C735}" xr6:coauthVersionLast="47" xr6:coauthVersionMax="47" xr10:uidLastSave="{00000000-0000-0000-0000-000000000000}"/>
  <bookViews>
    <workbookView xWindow="1760" yWindow="580" windowWidth="23840" windowHeight="15120" activeTab="2" xr2:uid="{64F40452-A3D8-4C49-BFF5-9F85CDF9315C}"/>
  </bookViews>
  <sheets>
    <sheet name="Fluxo de pagamentos" sheetId="5" r:id="rId1"/>
    <sheet name="Resumo Fluxo de Pagamentos" sheetId="6" r:id="rId2"/>
    <sheet name="Escrow e IT Serviços" sheetId="7" r:id="rId3"/>
    <sheet name="Variação Monetária Telecom" sheetId="19" r:id="rId4"/>
    <sheet name="Variação Monetária Serviços" sheetId="18" r:id="rId5"/>
    <sheet name="Suporte Técnico N3 Serviços" sheetId="16" r:id="rId6"/>
    <sheet name="FTTx Onitel Telecom" sheetId="17" r:id="rId7"/>
    <sheet name="Setup Onitel Serviços" sheetId="15" r:id="rId8"/>
    <sheet name="Imobilizado Onitel Telecom" sheetId="13" r:id="rId9"/>
    <sheet name="Carteira Conta Or Onitel Serviç" sheetId="12" r:id="rId10"/>
    <sheet name="Carteira Escrow Onitel Serviços" sheetId="22" r:id="rId11"/>
    <sheet name="Carteira BB Onitel Serviços" sheetId="11" r:id="rId12"/>
    <sheet name="Carteira Escrow Onitel Telecom " sheetId="20" r:id="rId13"/>
    <sheet name="Carteira Conta e Ordem Telecom" sheetId="10" r:id="rId14"/>
    <sheet name="Carteira BB Onitel Telecom" sheetId="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0" i="7" l="1"/>
  <c r="G39" i="7"/>
  <c r="G56" i="7"/>
  <c r="D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38" i="7"/>
  <c r="G37" i="7"/>
  <c r="G3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G29" i="7"/>
  <c r="G31" i="7" s="1"/>
  <c r="G28" i="7"/>
  <c r="F29" i="7"/>
  <c r="F31" i="7" s="1"/>
  <c r="F28" i="7"/>
  <c r="E29" i="7"/>
  <c r="E31" i="7" s="1"/>
  <c r="E28" i="7"/>
  <c r="D29" i="7"/>
  <c r="H29" i="7" s="1"/>
  <c r="C29" i="7"/>
  <c r="C31" i="7" s="1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B24" i="6"/>
  <c r="B24" i="22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V6" i="7"/>
  <c r="U6" i="7"/>
  <c r="T6" i="7"/>
  <c r="S6" i="7"/>
  <c r="S16" i="7" s="1"/>
  <c r="R6" i="7"/>
  <c r="Q6" i="7"/>
  <c r="Q16" i="7" s="1"/>
  <c r="P6" i="7"/>
  <c r="O6" i="7"/>
  <c r="N6" i="7"/>
  <c r="M6" i="7"/>
  <c r="M16" i="7" s="1"/>
  <c r="L6" i="7"/>
  <c r="L16" i="7" s="1"/>
  <c r="K6" i="7"/>
  <c r="K16" i="7" s="1"/>
  <c r="J6" i="7"/>
  <c r="J16" i="7" s="1"/>
  <c r="I6" i="7"/>
  <c r="I16" i="7" s="1"/>
  <c r="H6" i="7"/>
  <c r="H16" i="7" s="1"/>
  <c r="G6" i="7"/>
  <c r="G16" i="7" s="1"/>
  <c r="F6" i="7"/>
  <c r="F16" i="7" s="1"/>
  <c r="E6" i="7"/>
  <c r="E16" i="7" s="1"/>
  <c r="D6" i="7"/>
  <c r="D16" i="7" s="1"/>
  <c r="C6" i="7"/>
  <c r="V5" i="7"/>
  <c r="V15" i="7" s="1"/>
  <c r="U5" i="7"/>
  <c r="T5" i="7"/>
  <c r="T15" i="7" s="1"/>
  <c r="S5" i="7"/>
  <c r="R5" i="7"/>
  <c r="R15" i="7" s="1"/>
  <c r="Q5" i="7"/>
  <c r="P5" i="7"/>
  <c r="P15" i="7" s="1"/>
  <c r="O5" i="7"/>
  <c r="N5" i="7"/>
  <c r="N15" i="7" s="1"/>
  <c r="M5" i="7"/>
  <c r="L5" i="7"/>
  <c r="K5" i="7"/>
  <c r="J5" i="7"/>
  <c r="J15" i="7" s="1"/>
  <c r="I5" i="7"/>
  <c r="I15" i="7" s="1"/>
  <c r="H5" i="7"/>
  <c r="G5" i="7"/>
  <c r="F5" i="7"/>
  <c r="F15" i="7" s="1"/>
  <c r="E5" i="7"/>
  <c r="E15" i="7" s="1"/>
  <c r="D5" i="7"/>
  <c r="C5" i="7"/>
  <c r="V4" i="7"/>
  <c r="V18" i="7" s="1"/>
  <c r="U4" i="7"/>
  <c r="U18" i="7" s="1"/>
  <c r="B34" i="22" s="1"/>
  <c r="T4" i="7"/>
  <c r="T18" i="7" s="1"/>
  <c r="S4" i="7"/>
  <c r="S18" i="7" s="1"/>
  <c r="R4" i="7"/>
  <c r="R18" i="7" s="1"/>
  <c r="Q4" i="7"/>
  <c r="Q18" i="7" s="1"/>
  <c r="P4" i="7"/>
  <c r="P18" i="7" s="1"/>
  <c r="B29" i="22" s="1"/>
  <c r="O4" i="7"/>
  <c r="O18" i="7" s="1"/>
  <c r="N4" i="7"/>
  <c r="N17" i="7" s="1"/>
  <c r="B27" i="20" s="1"/>
  <c r="M4" i="7"/>
  <c r="M18" i="7" s="1"/>
  <c r="L4" i="7"/>
  <c r="L18" i="7" s="1"/>
  <c r="K4" i="7"/>
  <c r="K18" i="7" s="1"/>
  <c r="J4" i="7"/>
  <c r="J18" i="7" s="1"/>
  <c r="I4" i="7"/>
  <c r="I18" i="7" s="1"/>
  <c r="H4" i="7"/>
  <c r="H18" i="7" s="1"/>
  <c r="G4" i="7"/>
  <c r="G18" i="7" s="1"/>
  <c r="F4" i="7"/>
  <c r="F17" i="7" s="1"/>
  <c r="B19" i="20" s="1"/>
  <c r="E4" i="7"/>
  <c r="E18" i="7" s="1"/>
  <c r="D4" i="7"/>
  <c r="D17" i="7" s="1"/>
  <c r="B17" i="20" s="1"/>
  <c r="C4" i="7"/>
  <c r="C18" i="7" s="1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7" i="6"/>
  <c r="E16" i="6"/>
  <c r="E14" i="6"/>
  <c r="E13" i="6"/>
  <c r="D16" i="6"/>
  <c r="D13" i="6"/>
  <c r="D17" i="6"/>
  <c r="D14" i="6"/>
  <c r="H3" i="6"/>
  <c r="J43" i="5"/>
  <c r="J42" i="5"/>
  <c r="J40" i="5"/>
  <c r="AI37" i="5"/>
  <c r="K36" i="5"/>
  <c r="K35" i="5"/>
  <c r="K37" i="5"/>
  <c r="K38" i="5"/>
  <c r="E22" i="6"/>
  <c r="E21" i="6"/>
  <c r="E20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2" i="6"/>
  <c r="F21" i="6"/>
  <c r="F20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BA4" i="6"/>
  <c r="BA19" i="6" s="1"/>
  <c r="AZ4" i="6"/>
  <c r="AZ19" i="6" s="1"/>
  <c r="AY4" i="6"/>
  <c r="AY19" i="6" s="1"/>
  <c r="AX4" i="6"/>
  <c r="AX19" i="6" s="1"/>
  <c r="AW4" i="6"/>
  <c r="AW19" i="6" s="1"/>
  <c r="AV4" i="6"/>
  <c r="AV19" i="6" s="1"/>
  <c r="AU4" i="6"/>
  <c r="AU19" i="6" s="1"/>
  <c r="AT4" i="6"/>
  <c r="AT19" i="6" s="1"/>
  <c r="AS4" i="6"/>
  <c r="AS19" i="6" s="1"/>
  <c r="AR4" i="6"/>
  <c r="AR19" i="6" s="1"/>
  <c r="AQ4" i="6"/>
  <c r="AQ19" i="6" s="1"/>
  <c r="AP4" i="6"/>
  <c r="AP19" i="6" s="1"/>
  <c r="AO4" i="6"/>
  <c r="AO19" i="6" s="1"/>
  <c r="AN4" i="6"/>
  <c r="AN19" i="6" s="1"/>
  <c r="AM4" i="6"/>
  <c r="AM19" i="6" s="1"/>
  <c r="AL4" i="6"/>
  <c r="AL19" i="6" s="1"/>
  <c r="AK4" i="6"/>
  <c r="AK19" i="6" s="1"/>
  <c r="AJ4" i="6"/>
  <c r="AJ19" i="6" s="1"/>
  <c r="AI4" i="6"/>
  <c r="AI19" i="6" s="1"/>
  <c r="AH4" i="6"/>
  <c r="AH19" i="6" s="1"/>
  <c r="AG4" i="6"/>
  <c r="AG19" i="6" s="1"/>
  <c r="AF4" i="6"/>
  <c r="AF19" i="6" s="1"/>
  <c r="AE4" i="6"/>
  <c r="AE19" i="6" s="1"/>
  <c r="AD4" i="6"/>
  <c r="AD19" i="6" s="1"/>
  <c r="AC4" i="6"/>
  <c r="AC19" i="6" s="1"/>
  <c r="AB4" i="6"/>
  <c r="AB19" i="6" s="1"/>
  <c r="AA4" i="6"/>
  <c r="AA19" i="6" s="1"/>
  <c r="Z4" i="6"/>
  <c r="Z19" i="6" s="1"/>
  <c r="Y4" i="6"/>
  <c r="Y19" i="6" s="1"/>
  <c r="X4" i="6"/>
  <c r="X19" i="6" s="1"/>
  <c r="W4" i="6"/>
  <c r="W19" i="6" s="1"/>
  <c r="V4" i="6"/>
  <c r="V19" i="6" s="1"/>
  <c r="U4" i="6"/>
  <c r="U19" i="6" s="1"/>
  <c r="T4" i="6"/>
  <c r="T19" i="6" s="1"/>
  <c r="S4" i="6"/>
  <c r="S19" i="6" s="1"/>
  <c r="R4" i="6"/>
  <c r="R19" i="6" s="1"/>
  <c r="Q4" i="6"/>
  <c r="Q19" i="6" s="1"/>
  <c r="P4" i="6"/>
  <c r="P19" i="6" s="1"/>
  <c r="O4" i="6"/>
  <c r="O19" i="6" s="1"/>
  <c r="N4" i="6"/>
  <c r="N19" i="6" s="1"/>
  <c r="M4" i="6"/>
  <c r="M19" i="6" s="1"/>
  <c r="L4" i="6"/>
  <c r="L19" i="6" s="1"/>
  <c r="K4" i="6"/>
  <c r="K19" i="6" s="1"/>
  <c r="J4" i="6"/>
  <c r="J19" i="6" s="1"/>
  <c r="I4" i="6"/>
  <c r="I19" i="6" s="1"/>
  <c r="H4" i="6"/>
  <c r="H19" i="6" s="1"/>
  <c r="G4" i="6"/>
  <c r="G19" i="6" s="1"/>
  <c r="F4" i="6"/>
  <c r="F19" i="6" s="1"/>
  <c r="E7" i="6"/>
  <c r="E5" i="6"/>
  <c r="E6" i="6"/>
  <c r="E4" i="6"/>
  <c r="D7" i="6"/>
  <c r="D22" i="6" s="1"/>
  <c r="D6" i="6"/>
  <c r="D21" i="6" s="1"/>
  <c r="D5" i="6"/>
  <c r="D20" i="6" s="1"/>
  <c r="A7" i="6"/>
  <c r="A22" i="6" s="1"/>
  <c r="A6" i="6"/>
  <c r="A21" i="6" s="1"/>
  <c r="A5" i="6"/>
  <c r="A20" i="6" s="1"/>
  <c r="D4" i="6"/>
  <c r="D19" i="6" s="1"/>
  <c r="E19" i="6" s="1"/>
  <c r="A4" i="6"/>
  <c r="A19" i="6" s="1"/>
  <c r="AS3" i="6"/>
  <c r="AT3" i="6"/>
  <c r="AU3" i="6"/>
  <c r="AV3" i="6"/>
  <c r="AW3" i="6"/>
  <c r="AX3" i="6"/>
  <c r="AY3" i="6"/>
  <c r="AZ3" i="6"/>
  <c r="BA3" i="6"/>
  <c r="AI3" i="6"/>
  <c r="AJ3" i="6"/>
  <c r="AK3" i="6"/>
  <c r="AL3" i="6"/>
  <c r="AM3" i="6"/>
  <c r="AN3" i="6"/>
  <c r="AO3" i="6"/>
  <c r="AP3" i="6"/>
  <c r="AQ3" i="6"/>
  <c r="AR3" i="6"/>
  <c r="AE3" i="6"/>
  <c r="AF3" i="6"/>
  <c r="AG3" i="6"/>
  <c r="AH3" i="6"/>
  <c r="Y3" i="6"/>
  <c r="Z3" i="6"/>
  <c r="AA3" i="6"/>
  <c r="AB3" i="6"/>
  <c r="AC3" i="6"/>
  <c r="AD3" i="6"/>
  <c r="S3" i="6"/>
  <c r="T3" i="6"/>
  <c r="U3" i="6"/>
  <c r="V3" i="6"/>
  <c r="W3" i="6"/>
  <c r="X3" i="6"/>
  <c r="O3" i="6"/>
  <c r="P3" i="6"/>
  <c r="Q3" i="6"/>
  <c r="R3" i="6"/>
  <c r="G3" i="6"/>
  <c r="I3" i="6"/>
  <c r="J3" i="6"/>
  <c r="K3" i="6"/>
  <c r="L3" i="6"/>
  <c r="M3" i="6"/>
  <c r="N3" i="6"/>
  <c r="F3" i="6"/>
  <c r="E3" i="6"/>
  <c r="D3" i="6"/>
  <c r="B38" i="5"/>
  <c r="B37" i="5"/>
  <c r="B36" i="5"/>
  <c r="L36" i="5"/>
  <c r="W38" i="5"/>
  <c r="V38" i="5"/>
  <c r="U38" i="5"/>
  <c r="T38" i="5"/>
  <c r="S38" i="5"/>
  <c r="R38" i="5"/>
  <c r="Q38" i="5"/>
  <c r="P38" i="5"/>
  <c r="O38" i="5"/>
  <c r="N38" i="5"/>
  <c r="M38" i="5"/>
  <c r="L38" i="5"/>
  <c r="W37" i="5"/>
  <c r="V37" i="5"/>
  <c r="U37" i="5"/>
  <c r="T37" i="5"/>
  <c r="S37" i="5"/>
  <c r="R37" i="5"/>
  <c r="Q37" i="5"/>
  <c r="P37" i="5"/>
  <c r="O37" i="5"/>
  <c r="N37" i="5"/>
  <c r="M37" i="5"/>
  <c r="L37" i="5"/>
  <c r="W36" i="5"/>
  <c r="V36" i="5"/>
  <c r="U36" i="5"/>
  <c r="T36" i="5"/>
  <c r="S36" i="5"/>
  <c r="R36" i="5"/>
  <c r="Q36" i="5"/>
  <c r="P36" i="5"/>
  <c r="O36" i="5"/>
  <c r="M36" i="5"/>
  <c r="N36" i="5"/>
  <c r="BG25" i="5"/>
  <c r="BF25" i="5"/>
  <c r="BF29" i="5" s="1"/>
  <c r="BE25" i="5"/>
  <c r="BD25" i="5"/>
  <c r="BC25" i="5"/>
  <c r="BB25" i="5"/>
  <c r="BA25" i="5"/>
  <c r="BA29" i="5" s="1"/>
  <c r="AZ25" i="5"/>
  <c r="AZ29" i="5" s="1"/>
  <c r="AY25" i="5"/>
  <c r="AY29" i="5" s="1"/>
  <c r="AX25" i="5"/>
  <c r="AX29" i="5" s="1"/>
  <c r="AW25" i="5"/>
  <c r="AW29" i="5" s="1"/>
  <c r="AV25" i="5"/>
  <c r="AV29" i="5" s="1"/>
  <c r="AU25" i="5"/>
  <c r="AT25" i="5"/>
  <c r="AS25" i="5"/>
  <c r="AR25" i="5"/>
  <c r="AR29" i="5" s="1"/>
  <c r="AQ25" i="5"/>
  <c r="AQ29" i="5" s="1"/>
  <c r="AP25" i="5"/>
  <c r="AP29" i="5" s="1"/>
  <c r="AO25" i="5"/>
  <c r="AO29" i="5" s="1"/>
  <c r="AN25" i="5"/>
  <c r="AN29" i="5" s="1"/>
  <c r="AM25" i="5"/>
  <c r="AM29" i="5" s="1"/>
  <c r="AL25" i="5"/>
  <c r="AL29" i="5" s="1"/>
  <c r="AK25" i="5"/>
  <c r="AK29" i="5" s="1"/>
  <c r="AJ25" i="5"/>
  <c r="AJ29" i="5" s="1"/>
  <c r="AI25" i="5"/>
  <c r="AH25" i="5"/>
  <c r="AG25" i="5"/>
  <c r="AF25" i="5"/>
  <c r="AE25" i="5"/>
  <c r="AE29" i="5" s="1"/>
  <c r="AD25" i="5"/>
  <c r="AD29" i="5" s="1"/>
  <c r="AC25" i="5"/>
  <c r="AC29" i="5" s="1"/>
  <c r="AB25" i="5"/>
  <c r="AB29" i="5" s="1"/>
  <c r="AA25" i="5"/>
  <c r="AA29" i="5" s="1"/>
  <c r="Z25" i="5"/>
  <c r="Z29" i="5" s="1"/>
  <c r="Y25" i="5"/>
  <c r="Y29" i="5" s="1"/>
  <c r="X25" i="5"/>
  <c r="X29" i="5" s="1"/>
  <c r="W25" i="5"/>
  <c r="V25" i="5"/>
  <c r="U25" i="5"/>
  <c r="T25" i="5"/>
  <c r="T29" i="5" s="1"/>
  <c r="S25" i="5"/>
  <c r="S29" i="5" s="1"/>
  <c r="R25" i="5"/>
  <c r="R29" i="5" s="1"/>
  <c r="Q25" i="5"/>
  <c r="Q29" i="5" s="1"/>
  <c r="P25" i="5"/>
  <c r="P29" i="5" s="1"/>
  <c r="O25" i="5"/>
  <c r="O29" i="5" s="1"/>
  <c r="N25" i="5"/>
  <c r="N29" i="5" s="1"/>
  <c r="M25" i="5"/>
  <c r="M29" i="5" s="1"/>
  <c r="L25" i="5"/>
  <c r="L29" i="5" s="1"/>
  <c r="K25" i="5"/>
  <c r="K29" i="5" s="1"/>
  <c r="BG29" i="5"/>
  <c r="BE29" i="5"/>
  <c r="BD29" i="5"/>
  <c r="BC29" i="5"/>
  <c r="BB29" i="5"/>
  <c r="AU29" i="5"/>
  <c r="AT29" i="5"/>
  <c r="AS29" i="5"/>
  <c r="AI29" i="5"/>
  <c r="AH29" i="5"/>
  <c r="AG29" i="5"/>
  <c r="AF29" i="5"/>
  <c r="W29" i="5"/>
  <c r="V29" i="5"/>
  <c r="U29" i="5"/>
  <c r="D15" i="7" l="1"/>
  <c r="N16" i="7"/>
  <c r="O15" i="7"/>
  <c r="C30" i="7"/>
  <c r="D30" i="7"/>
  <c r="D31" i="7"/>
  <c r="H31" i="7" s="1"/>
  <c r="B20" i="22"/>
  <c r="Q15" i="7"/>
  <c r="B30" i="22"/>
  <c r="H15" i="7"/>
  <c r="B18" i="22"/>
  <c r="B28" i="22"/>
  <c r="E30" i="7"/>
  <c r="B21" i="22"/>
  <c r="B31" i="22"/>
  <c r="F30" i="7"/>
  <c r="B22" i="22"/>
  <c r="B32" i="22"/>
  <c r="G30" i="7"/>
  <c r="B23" i="22"/>
  <c r="B33" i="22"/>
  <c r="B25" i="22"/>
  <c r="B35" i="22"/>
  <c r="B16" i="22"/>
  <c r="B26" i="22"/>
  <c r="K15" i="7"/>
  <c r="U15" i="7"/>
  <c r="S15" i="7"/>
  <c r="U16" i="7"/>
  <c r="T16" i="7"/>
  <c r="O16" i="7"/>
  <c r="R16" i="7"/>
  <c r="V16" i="7"/>
  <c r="H17" i="7"/>
  <c r="B21" i="20" s="1"/>
  <c r="G15" i="7"/>
  <c r="W13" i="7"/>
  <c r="Q17" i="7"/>
  <c r="B30" i="20" s="1"/>
  <c r="W9" i="7"/>
  <c r="G17" i="7"/>
  <c r="B20" i="20" s="1"/>
  <c r="R17" i="7"/>
  <c r="B31" i="20" s="1"/>
  <c r="C16" i="7"/>
  <c r="W11" i="7"/>
  <c r="W12" i="7"/>
  <c r="F18" i="7"/>
  <c r="C15" i="7"/>
  <c r="W8" i="7"/>
  <c r="W14" i="7"/>
  <c r="L15" i="7"/>
  <c r="M15" i="7"/>
  <c r="W7" i="7"/>
  <c r="W10" i="7"/>
  <c r="P16" i="7"/>
  <c r="E17" i="7"/>
  <c r="B18" i="20" s="1"/>
  <c r="O17" i="7"/>
  <c r="B28" i="20" s="1"/>
  <c r="D18" i="7"/>
  <c r="N18" i="7"/>
  <c r="P17" i="7"/>
  <c r="B29" i="20" s="1"/>
  <c r="I17" i="7"/>
  <c r="B22" i="20" s="1"/>
  <c r="S17" i="7"/>
  <c r="B32" i="20" s="1"/>
  <c r="J17" i="7"/>
  <c r="B23" i="20" s="1"/>
  <c r="T17" i="7"/>
  <c r="B33" i="20" s="1"/>
  <c r="W4" i="7"/>
  <c r="W5" i="7"/>
  <c r="K17" i="7"/>
  <c r="B24" i="20" s="1"/>
  <c r="U17" i="7"/>
  <c r="B34" i="20" s="1"/>
  <c r="W6" i="7"/>
  <c r="L17" i="7"/>
  <c r="B25" i="20" s="1"/>
  <c r="V17" i="7"/>
  <c r="B35" i="20" s="1"/>
  <c r="C17" i="7"/>
  <c r="B16" i="20" s="1"/>
  <c r="M17" i="7"/>
  <c r="B26" i="20" s="1"/>
  <c r="G18" i="6"/>
  <c r="H18" i="6"/>
  <c r="S18" i="6"/>
  <c r="E15" i="6"/>
  <c r="AC18" i="6"/>
  <c r="AW18" i="6"/>
  <c r="J18" i="6"/>
  <c r="AD18" i="6"/>
  <c r="AN18" i="6"/>
  <c r="AY15" i="6"/>
  <c r="I18" i="6"/>
  <c r="T18" i="6"/>
  <c r="AX18" i="6"/>
  <c r="AJ18" i="6"/>
  <c r="W15" i="6"/>
  <c r="AQ15" i="6"/>
  <c r="BA15" i="6"/>
  <c r="AA18" i="6"/>
  <c r="AK18" i="6"/>
  <c r="AK15" i="6"/>
  <c r="AY18" i="6"/>
  <c r="S15" i="6"/>
  <c r="D15" i="6"/>
  <c r="Q15" i="6"/>
  <c r="H15" i="6"/>
  <c r="AL15" i="6"/>
  <c r="AC15" i="6"/>
  <c r="T15" i="6"/>
  <c r="G15" i="6"/>
  <c r="AU15" i="6"/>
  <c r="K18" i="6"/>
  <c r="AE18" i="6"/>
  <c r="R15" i="6"/>
  <c r="AV15" i="6"/>
  <c r="I15" i="6"/>
  <c r="AW15" i="6"/>
  <c r="AZ15" i="6"/>
  <c r="AB18" i="6"/>
  <c r="AL18" i="6"/>
  <c r="AA15" i="6"/>
  <c r="U18" i="6"/>
  <c r="AO18" i="6"/>
  <c r="AB15" i="6"/>
  <c r="AM15" i="6"/>
  <c r="AD15" i="6"/>
  <c r="AZ18" i="6"/>
  <c r="U15" i="6"/>
  <c r="W18" i="6"/>
  <c r="BA18" i="6"/>
  <c r="AR18" i="6"/>
  <c r="AE15" i="6"/>
  <c r="D18" i="6"/>
  <c r="AX15" i="6"/>
  <c r="L18" i="6"/>
  <c r="AP18" i="6"/>
  <c r="K15" i="6"/>
  <c r="AG18" i="6"/>
  <c r="AP15" i="6"/>
  <c r="N18" i="6"/>
  <c r="X18" i="6"/>
  <c r="M15" i="6"/>
  <c r="F18" i="6"/>
  <c r="P18" i="6"/>
  <c r="Z18" i="6"/>
  <c r="AT18" i="6"/>
  <c r="AN15" i="6"/>
  <c r="V18" i="6"/>
  <c r="L15" i="6"/>
  <c r="AF15" i="6"/>
  <c r="AH18" i="6"/>
  <c r="AG15" i="6"/>
  <c r="E23" i="6"/>
  <c r="Q18" i="6"/>
  <c r="AU18" i="6"/>
  <c r="AM18" i="6"/>
  <c r="J15" i="6"/>
  <c r="AF18" i="6"/>
  <c r="AO15" i="6"/>
  <c r="M18" i="6"/>
  <c r="AQ18" i="6"/>
  <c r="V15" i="6"/>
  <c r="BB17" i="6"/>
  <c r="BB14" i="6"/>
  <c r="S23" i="6"/>
  <c r="F15" i="6"/>
  <c r="P15" i="6"/>
  <c r="Z15" i="6"/>
  <c r="AJ15" i="6"/>
  <c r="AT15" i="6"/>
  <c r="R18" i="6"/>
  <c r="AV18" i="6"/>
  <c r="Y18" i="6"/>
  <c r="Z23" i="6"/>
  <c r="BB16" i="6"/>
  <c r="O18" i="6"/>
  <c r="AS18" i="6"/>
  <c r="H8" i="6"/>
  <c r="R8" i="6"/>
  <c r="AB8" i="6"/>
  <c r="AL8" i="6"/>
  <c r="AV8" i="6"/>
  <c r="E18" i="6"/>
  <c r="N15" i="6"/>
  <c r="X15" i="6"/>
  <c r="AH15" i="6"/>
  <c r="AR15" i="6"/>
  <c r="O15" i="6"/>
  <c r="Y15" i="6"/>
  <c r="AI15" i="6"/>
  <c r="AS15" i="6"/>
  <c r="AI18" i="6"/>
  <c r="F23" i="6"/>
  <c r="N23" i="6"/>
  <c r="X23" i="6"/>
  <c r="AH23" i="6"/>
  <c r="AR23" i="6"/>
  <c r="D23" i="6"/>
  <c r="O8" i="6"/>
  <c r="Y8" i="6"/>
  <c r="AI8" i="6"/>
  <c r="AS8" i="6"/>
  <c r="AS23" i="6"/>
  <c r="P23" i="6"/>
  <c r="AJ23" i="6"/>
  <c r="AT23" i="6"/>
  <c r="I23" i="6"/>
  <c r="AC23" i="6"/>
  <c r="AM23" i="6"/>
  <c r="AW23" i="6"/>
  <c r="L23" i="6"/>
  <c r="V23" i="6"/>
  <c r="AF23" i="6"/>
  <c r="AP23" i="6"/>
  <c r="AZ23" i="6"/>
  <c r="O23" i="6"/>
  <c r="Y23" i="6"/>
  <c r="AI23" i="6"/>
  <c r="S8" i="6"/>
  <c r="AM8" i="6"/>
  <c r="AW8" i="6"/>
  <c r="M23" i="6"/>
  <c r="W23" i="6"/>
  <c r="AG23" i="6"/>
  <c r="AQ23" i="6"/>
  <c r="BA23" i="6"/>
  <c r="Q23" i="6"/>
  <c r="AK23" i="6"/>
  <c r="N8" i="6"/>
  <c r="AH8" i="6"/>
  <c r="H23" i="6"/>
  <c r="AB23" i="6"/>
  <c r="AV23" i="6"/>
  <c r="J23" i="6"/>
  <c r="T23" i="6"/>
  <c r="AD23" i="6"/>
  <c r="AN23" i="6"/>
  <c r="AX23" i="6"/>
  <c r="G23" i="6"/>
  <c r="AA23" i="6"/>
  <c r="AU23" i="6"/>
  <c r="X8" i="6"/>
  <c r="AR8" i="6"/>
  <c r="R23" i="6"/>
  <c r="AL23" i="6"/>
  <c r="E8" i="6"/>
  <c r="G8" i="6"/>
  <c r="Q8" i="6"/>
  <c r="AA8" i="6"/>
  <c r="AK8" i="6"/>
  <c r="AU8" i="6"/>
  <c r="I8" i="6"/>
  <c r="AC8" i="6"/>
  <c r="K23" i="6"/>
  <c r="U23" i="6"/>
  <c r="AE23" i="6"/>
  <c r="AO23" i="6"/>
  <c r="AY23" i="6"/>
  <c r="BB19" i="6"/>
  <c r="BB13" i="6"/>
  <c r="J8" i="6"/>
  <c r="T8" i="6"/>
  <c r="AD8" i="6"/>
  <c r="AN8" i="6"/>
  <c r="AX8" i="6"/>
  <c r="U8" i="6"/>
  <c r="AE8" i="6"/>
  <c r="AO8" i="6"/>
  <c r="AY8" i="6"/>
  <c r="K8" i="6"/>
  <c r="L8" i="6"/>
  <c r="V8" i="6"/>
  <c r="AF8" i="6"/>
  <c r="AP8" i="6"/>
  <c r="AZ8" i="6"/>
  <c r="F8" i="6"/>
  <c r="P8" i="6"/>
  <c r="Z8" i="6"/>
  <c r="AJ8" i="6"/>
  <c r="AT8" i="6"/>
  <c r="M8" i="6"/>
  <c r="W8" i="6"/>
  <c r="AG8" i="6"/>
  <c r="AQ8" i="6"/>
  <c r="BA8" i="6"/>
  <c r="D8" i="6"/>
  <c r="BB22" i="6"/>
  <c r="BB20" i="6"/>
  <c r="BB21" i="6"/>
  <c r="AT9" i="6"/>
  <c r="AS9" i="6"/>
  <c r="AU9" i="6"/>
  <c r="K9" i="6"/>
  <c r="U9" i="6"/>
  <c r="AE9" i="6"/>
  <c r="AO9" i="6"/>
  <c r="BB5" i="6"/>
  <c r="BB7" i="6"/>
  <c r="E9" i="6"/>
  <c r="N9" i="6"/>
  <c r="X9" i="6"/>
  <c r="AW9" i="6"/>
  <c r="O9" i="6"/>
  <c r="AX9" i="6"/>
  <c r="R9" i="6"/>
  <c r="AL9" i="6"/>
  <c r="Y9" i="6"/>
  <c r="BB4" i="6"/>
  <c r="L9" i="6"/>
  <c r="V9" i="6"/>
  <c r="AH9" i="6"/>
  <c r="AI9" i="6"/>
  <c r="AR9" i="6"/>
  <c r="BB3" i="6"/>
  <c r="H9" i="6"/>
  <c r="AB9" i="6"/>
  <c r="I9" i="6"/>
  <c r="S9" i="6"/>
  <c r="AC9" i="6"/>
  <c r="AM9" i="6"/>
  <c r="J9" i="6"/>
  <c r="T9" i="6"/>
  <c r="AD9" i="6"/>
  <c r="AN9" i="6"/>
  <c r="AY9" i="6"/>
  <c r="D9" i="6"/>
  <c r="AF9" i="6"/>
  <c r="BB6" i="6"/>
  <c r="M9" i="6"/>
  <c r="AG9" i="6"/>
  <c r="AQ9" i="6"/>
  <c r="BA9" i="6"/>
  <c r="F9" i="6"/>
  <c r="P9" i="6"/>
  <c r="Z9" i="6"/>
  <c r="AJ9" i="6"/>
  <c r="AV9" i="6"/>
  <c r="AP9" i="6"/>
  <c r="AZ9" i="6"/>
  <c r="W9" i="6"/>
  <c r="G9" i="6"/>
  <c r="Q9" i="6"/>
  <c r="AA9" i="6"/>
  <c r="AK9" i="6"/>
  <c r="J27" i="5"/>
  <c r="J28" i="5"/>
  <c r="J26" i="5"/>
  <c r="J25" i="5"/>
  <c r="J29" i="5" s="1"/>
  <c r="K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L8" i="5"/>
  <c r="BG21" i="5"/>
  <c r="BG23" i="5" s="1"/>
  <c r="BF21" i="5"/>
  <c r="BF23" i="5" s="1"/>
  <c r="BE21" i="5"/>
  <c r="BE23" i="5" s="1"/>
  <c r="BD21" i="5"/>
  <c r="BD23" i="5" s="1"/>
  <c r="BC21" i="5"/>
  <c r="BC23" i="5" s="1"/>
  <c r="BB21" i="5"/>
  <c r="BB23" i="5" s="1"/>
  <c r="BA21" i="5"/>
  <c r="BA23" i="5" s="1"/>
  <c r="AZ21" i="5"/>
  <c r="AZ23" i="5" s="1"/>
  <c r="AY21" i="5"/>
  <c r="AY23" i="5" s="1"/>
  <c r="AX21" i="5"/>
  <c r="AX23" i="5" s="1"/>
  <c r="AW21" i="5"/>
  <c r="AW23" i="5" s="1"/>
  <c r="AV21" i="5"/>
  <c r="AV23" i="5" s="1"/>
  <c r="AU21" i="5"/>
  <c r="AU23" i="5" s="1"/>
  <c r="AT21" i="5"/>
  <c r="AT23" i="5" s="1"/>
  <c r="AS21" i="5"/>
  <c r="AS23" i="5" s="1"/>
  <c r="AR21" i="5"/>
  <c r="AR23" i="5" s="1"/>
  <c r="AQ21" i="5"/>
  <c r="AQ23" i="5" s="1"/>
  <c r="AP21" i="5"/>
  <c r="AP23" i="5" s="1"/>
  <c r="AO21" i="5"/>
  <c r="AO23" i="5" s="1"/>
  <c r="AN21" i="5"/>
  <c r="AN23" i="5" s="1"/>
  <c r="AM21" i="5"/>
  <c r="AM23" i="5" s="1"/>
  <c r="AL21" i="5"/>
  <c r="AL23" i="5" s="1"/>
  <c r="AK21" i="5"/>
  <c r="AK23" i="5" s="1"/>
  <c r="AJ21" i="5"/>
  <c r="AJ23" i="5" s="1"/>
  <c r="AI21" i="5"/>
  <c r="AI23" i="5" s="1"/>
  <c r="AH21" i="5"/>
  <c r="AH23" i="5" s="1"/>
  <c r="AG21" i="5"/>
  <c r="AG23" i="5" s="1"/>
  <c r="AF21" i="5"/>
  <c r="AF23" i="5" s="1"/>
  <c r="AE21" i="5"/>
  <c r="AE23" i="5" s="1"/>
  <c r="AD21" i="5"/>
  <c r="AD23" i="5" s="1"/>
  <c r="AC21" i="5"/>
  <c r="AC23" i="5" s="1"/>
  <c r="AB21" i="5"/>
  <c r="AB23" i="5" s="1"/>
  <c r="AA21" i="5"/>
  <c r="AA23" i="5" s="1"/>
  <c r="Z21" i="5"/>
  <c r="Z23" i="5" s="1"/>
  <c r="Y21" i="5"/>
  <c r="Y23" i="5" s="1"/>
  <c r="X21" i="5"/>
  <c r="X23" i="5" s="1"/>
  <c r="W21" i="5"/>
  <c r="W23" i="5" s="1"/>
  <c r="V21" i="5"/>
  <c r="V23" i="5" s="1"/>
  <c r="U21" i="5"/>
  <c r="U23" i="5" s="1"/>
  <c r="T21" i="5"/>
  <c r="T23" i="5" s="1"/>
  <c r="S21" i="5"/>
  <c r="S23" i="5" s="1"/>
  <c r="R21" i="5"/>
  <c r="R23" i="5" s="1"/>
  <c r="Q21" i="5"/>
  <c r="Q23" i="5" s="1"/>
  <c r="P21" i="5"/>
  <c r="P23" i="5" s="1"/>
  <c r="O21" i="5"/>
  <c r="O23" i="5" s="1"/>
  <c r="N21" i="5"/>
  <c r="N23" i="5" s="1"/>
  <c r="M21" i="5"/>
  <c r="M23" i="5" s="1"/>
  <c r="L21" i="5"/>
  <c r="L23" i="5" s="1"/>
  <c r="K21" i="5"/>
  <c r="K23" i="5" s="1"/>
  <c r="J22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18" i="5"/>
  <c r="J17" i="5"/>
  <c r="J16" i="5"/>
  <c r="J15" i="5"/>
  <c r="J14" i="5"/>
  <c r="J13" i="5"/>
  <c r="J12" i="5"/>
  <c r="J11" i="5"/>
  <c r="J10" i="5"/>
  <c r="J9" i="5"/>
  <c r="M8" i="5"/>
  <c r="J7" i="5"/>
  <c r="L2" i="5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H30" i="7" l="1"/>
  <c r="B36" i="20"/>
  <c r="B27" i="22"/>
  <c r="B17" i="22"/>
  <c r="B19" i="22"/>
  <c r="W16" i="7"/>
  <c r="W18" i="7"/>
  <c r="W15" i="7"/>
  <c r="W17" i="7"/>
  <c r="BB15" i="6"/>
  <c r="BB18" i="6"/>
  <c r="BB23" i="6"/>
  <c r="BB8" i="6"/>
  <c r="BC21" i="6"/>
  <c r="BB9" i="6"/>
  <c r="L19" i="5"/>
  <c r="L31" i="5" s="1"/>
  <c r="AW19" i="5"/>
  <c r="AW31" i="5" s="1"/>
  <c r="AZ19" i="5"/>
  <c r="AZ31" i="5" s="1"/>
  <c r="AC19" i="5"/>
  <c r="AC31" i="5" s="1"/>
  <c r="BB19" i="5"/>
  <c r="BB31" i="5" s="1"/>
  <c r="AH19" i="5"/>
  <c r="AH31" i="5" s="1"/>
  <c r="BE19" i="5"/>
  <c r="BE31" i="5" s="1"/>
  <c r="V19" i="5"/>
  <c r="V31" i="5" s="1"/>
  <c r="W19" i="5"/>
  <c r="W31" i="5" s="1"/>
  <c r="BA19" i="5"/>
  <c r="BA31" i="5" s="1"/>
  <c r="BC19" i="5"/>
  <c r="BC31" i="5" s="1"/>
  <c r="U19" i="5"/>
  <c r="U31" i="5" s="1"/>
  <c r="BF19" i="5"/>
  <c r="BF31" i="5" s="1"/>
  <c r="AI19" i="5"/>
  <c r="AI31" i="5" s="1"/>
  <c r="BG19" i="5"/>
  <c r="BG31" i="5" s="1"/>
  <c r="K19" i="5"/>
  <c r="K31" i="5" s="1"/>
  <c r="J21" i="5"/>
  <c r="J23" i="5" s="1"/>
  <c r="M19" i="5"/>
  <c r="M31" i="5" s="1"/>
  <c r="Y19" i="5"/>
  <c r="Y31" i="5" s="1"/>
  <c r="AK19" i="5"/>
  <c r="AK31" i="5" s="1"/>
  <c r="N19" i="5"/>
  <c r="N31" i="5" s="1"/>
  <c r="Z19" i="5"/>
  <c r="Z31" i="5" s="1"/>
  <c r="AL19" i="5"/>
  <c r="AL31" i="5" s="1"/>
  <c r="AX19" i="5"/>
  <c r="AX31" i="5" s="1"/>
  <c r="X19" i="5"/>
  <c r="X31" i="5" s="1"/>
  <c r="AJ19" i="5"/>
  <c r="AJ31" i="5" s="1"/>
  <c r="AV19" i="5"/>
  <c r="AV31" i="5" s="1"/>
  <c r="P19" i="5"/>
  <c r="P31" i="5" s="1"/>
  <c r="AY19" i="5"/>
  <c r="AY31" i="5" s="1"/>
  <c r="AO19" i="5"/>
  <c r="AO31" i="5" s="1"/>
  <c r="O19" i="5"/>
  <c r="O31" i="5" s="1"/>
  <c r="AA19" i="5"/>
  <c r="AA31" i="5" s="1"/>
  <c r="AN19" i="5"/>
  <c r="AN31" i="5" s="1"/>
  <c r="Q19" i="5"/>
  <c r="Q31" i="5" s="1"/>
  <c r="AM19" i="5"/>
  <c r="AM31" i="5" s="1"/>
  <c r="AB19" i="5"/>
  <c r="AB31" i="5" s="1"/>
  <c r="AU19" i="5"/>
  <c r="AU31" i="5" s="1"/>
  <c r="AT19" i="5"/>
  <c r="AT31" i="5" s="1"/>
  <c r="R19" i="5"/>
  <c r="R31" i="5" s="1"/>
  <c r="AQ19" i="5"/>
  <c r="AQ31" i="5" s="1"/>
  <c r="T19" i="5"/>
  <c r="T31" i="5" s="1"/>
  <c r="AF19" i="5"/>
  <c r="AF31" i="5" s="1"/>
  <c r="AR19" i="5"/>
  <c r="AR31" i="5" s="1"/>
  <c r="BD19" i="5"/>
  <c r="BD31" i="5" s="1"/>
  <c r="AP19" i="5"/>
  <c r="AP31" i="5" s="1"/>
  <c r="AE19" i="5"/>
  <c r="AE31" i="5" s="1"/>
  <c r="AG19" i="5"/>
  <c r="AG31" i="5" s="1"/>
  <c r="AD19" i="5"/>
  <c r="AD31" i="5" s="1"/>
  <c r="S19" i="5"/>
  <c r="S31" i="5" s="1"/>
  <c r="AS19" i="5"/>
  <c r="AS31" i="5" s="1"/>
  <c r="J4" i="5"/>
  <c r="J6" i="5"/>
  <c r="J5" i="5"/>
  <c r="J8" i="5"/>
  <c r="B36" i="22" l="1"/>
  <c r="J19" i="5"/>
  <c r="J31" i="5" s="1"/>
  <c r="X32" i="5" l="1"/>
  <c r="AN32" i="5" l="1"/>
  <c r="AR32" i="5"/>
  <c r="AG32" i="5"/>
  <c r="AI32" i="5"/>
  <c r="AS32" i="5"/>
  <c r="R32" i="5"/>
  <c r="AB32" i="5"/>
  <c r="BG32" i="5"/>
  <c r="M32" i="5"/>
  <c r="V32" i="5"/>
  <c r="BF32" i="5"/>
  <c r="S32" i="5"/>
  <c r="AD32" i="5"/>
  <c r="AL32" i="5"/>
  <c r="AU32" i="5"/>
  <c r="AA32" i="5"/>
  <c r="BC32" i="5"/>
  <c r="BE32" i="5"/>
  <c r="AM32" i="5"/>
  <c r="AY32" i="5"/>
  <c r="AF32" i="5"/>
  <c r="W32" i="5"/>
  <c r="BB32" i="5"/>
  <c r="AE32" i="5"/>
  <c r="T32" i="5"/>
  <c r="AO32" i="5"/>
  <c r="Y32" i="5"/>
  <c r="AC32" i="5"/>
  <c r="AX32" i="5"/>
  <c r="AK32" i="5"/>
  <c r="AT32" i="5"/>
  <c r="AP32" i="5"/>
  <c r="P32" i="5"/>
  <c r="BD32" i="5"/>
  <c r="AV32" i="5"/>
  <c r="U32" i="5"/>
  <c r="N32" i="5"/>
  <c r="O32" i="5"/>
  <c r="BA32" i="5"/>
  <c r="L32" i="5"/>
  <c r="AW32" i="5"/>
  <c r="Z32" i="5"/>
  <c r="AH32" i="5"/>
  <c r="AQ32" i="5"/>
  <c r="Q32" i="5"/>
  <c r="K32" i="5"/>
  <c r="AJ32" i="5"/>
  <c r="AZ32" i="5"/>
</calcChain>
</file>

<file path=xl/sharedStrings.xml><?xml version="1.0" encoding="utf-8"?>
<sst xmlns="http://schemas.openxmlformats.org/spreadsheetml/2006/main" count="659" uniqueCount="187">
  <si>
    <t>Total</t>
  </si>
  <si>
    <t>Bsb Internet</t>
  </si>
  <si>
    <t>Cev Fibra Comercio e Servicos de Comunicacao Ltda</t>
  </si>
  <si>
    <t>Hilan Telecom Ltda</t>
  </si>
  <si>
    <t>Interfiber Telecom Ltda</t>
  </si>
  <si>
    <t>Carteira</t>
  </si>
  <si>
    <t>Tipo</t>
  </si>
  <si>
    <t>Geral</t>
  </si>
  <si>
    <t>Ediene Oliveira de Araújo</t>
  </si>
  <si>
    <t>Victor Júlio dos Santos</t>
  </si>
  <si>
    <t>Sandro Gomes de Araújo</t>
  </si>
  <si>
    <t>Pedro Humberto alves Albenaz</t>
  </si>
  <si>
    <t>Nair Soares Gontijo</t>
  </si>
  <si>
    <t>Leao construtora e Serviços</t>
  </si>
  <si>
    <t>51.352.661/0001-17</t>
  </si>
  <si>
    <t>06.283.200/0001-85</t>
  </si>
  <si>
    <t>689.754.811-15</t>
  </si>
  <si>
    <t>186.441.438-32</t>
  </si>
  <si>
    <t>486.011.441-87</t>
  </si>
  <si>
    <t>477.725.496-87</t>
  </si>
  <si>
    <t>013.382.796-88</t>
  </si>
  <si>
    <t>31.390.568/0001-90</t>
  </si>
  <si>
    <t>27.851.023/0001-66</t>
  </si>
  <si>
    <t>Banco</t>
  </si>
  <si>
    <t>Agência</t>
  </si>
  <si>
    <t>Conta</t>
  </si>
  <si>
    <t>BSB INTERNERT</t>
  </si>
  <si>
    <t>31759-4</t>
  </si>
  <si>
    <t>Vec Security Segurança Eletrônica Ltda</t>
  </si>
  <si>
    <t>13008095-8</t>
  </si>
  <si>
    <t>11468-5</t>
  </si>
  <si>
    <t>260013-7</t>
  </si>
  <si>
    <t>33927-0</t>
  </si>
  <si>
    <t>27557-3</t>
  </si>
  <si>
    <t>24864-9</t>
  </si>
  <si>
    <t>118152-1</t>
  </si>
  <si>
    <t>18036-0</t>
  </si>
  <si>
    <t>32184-2</t>
  </si>
  <si>
    <t>IT Investimentos</t>
  </si>
  <si>
    <t>3214-0</t>
  </si>
  <si>
    <t>56768-0</t>
  </si>
  <si>
    <t>10.753.750/0001-98</t>
  </si>
  <si>
    <t>Contrato</t>
  </si>
  <si>
    <t>Cessão</t>
  </si>
  <si>
    <t>Credores</t>
  </si>
  <si>
    <t>Dia de vencimento</t>
  </si>
  <si>
    <t>n.a.</t>
  </si>
  <si>
    <t>CPF / CNPJ</t>
  </si>
  <si>
    <t>Onitel Telecom</t>
  </si>
  <si>
    <t>26.117.079/0001-29</t>
  </si>
  <si>
    <t>38.404.347/0001-72</t>
  </si>
  <si>
    <t>Onitel Serviços</t>
  </si>
  <si>
    <t>3411-8</t>
  </si>
  <si>
    <t>4275-7</t>
  </si>
  <si>
    <t>47907-1</t>
  </si>
  <si>
    <t>47.908-X</t>
  </si>
  <si>
    <t>ONITEL SERVICOS LTDA</t>
  </si>
  <si>
    <t>ONITEL TELECOMUNICAÇÕES LTDA</t>
  </si>
  <si>
    <t>G. M. de Barros Servicos</t>
  </si>
  <si>
    <t>[Data de Fechamento]</t>
  </si>
  <si>
    <t>Favorecido / Razão Social</t>
  </si>
  <si>
    <t>Termo de Contratação</t>
  </si>
  <si>
    <t>Nexa Eva Telecom</t>
  </si>
  <si>
    <t>FTTx</t>
  </si>
  <si>
    <t>Setup</t>
  </si>
  <si>
    <t>Deletar&gt;&gt;</t>
  </si>
  <si>
    <t>Valor das notas mensais</t>
  </si>
  <si>
    <t>Cessão Imobilizado</t>
  </si>
  <si>
    <t>Contrato FTTx</t>
  </si>
  <si>
    <t>FTTx - Portas Iluminadas</t>
  </si>
  <si>
    <t>Valor de Emissão de NFs</t>
  </si>
  <si>
    <t>Rubricas</t>
  </si>
  <si>
    <t>Carteira de Clientes</t>
  </si>
  <si>
    <t>Valor</t>
  </si>
  <si>
    <t>Soma</t>
  </si>
  <si>
    <t>Serviço Suporte N3</t>
  </si>
  <si>
    <t>Emissão de NF e Reconheciento da Receita</t>
  </si>
  <si>
    <t>Soma das Receitas</t>
  </si>
  <si>
    <t>Documento Fiscal</t>
  </si>
  <si>
    <t>Vencimento / Valor</t>
  </si>
  <si>
    <t>Data Emissao NF / Valor</t>
  </si>
  <si>
    <t>Não Emite NF</t>
  </si>
  <si>
    <t>Empresa Prestadora</t>
  </si>
  <si>
    <t>Telecom e Serviços</t>
  </si>
  <si>
    <t>Soma dos Serviços</t>
  </si>
  <si>
    <t>NFS</t>
  </si>
  <si>
    <t>NF Telecom</t>
  </si>
  <si>
    <t>NF-e Imobilizado</t>
  </si>
  <si>
    <t>Carteira Clientes - Pago Diretamente à Onitel Telecom</t>
  </si>
  <si>
    <t>Carteira Clientes - Rateio dos valores Pagos aos Credores</t>
  </si>
  <si>
    <t>Soma dos Valores Carteira de Clientes -  Parte Onitel Telecom</t>
  </si>
  <si>
    <t>Carteira Clientes - Pago Diretamente à Onitel Serviços</t>
  </si>
  <si>
    <t>Valores da Conta Escrow</t>
  </si>
  <si>
    <t>Destinatário dos Recursos</t>
  </si>
  <si>
    <t>Cev Fibra Comércio</t>
  </si>
  <si>
    <t>Connectx</t>
  </si>
  <si>
    <t>Soma Connectx</t>
  </si>
  <si>
    <t>Soma Onitel Telecom</t>
  </si>
  <si>
    <t>Credor</t>
  </si>
  <si>
    <t>Valor  dos Recursos Parte Onitel Telecom: 64,7%</t>
  </si>
  <si>
    <t>Valor  dos Recursos Parte Onitel Serviços: 35,3%</t>
  </si>
  <si>
    <t>Campo no Kamino</t>
  </si>
  <si>
    <t>Informação</t>
  </si>
  <si>
    <t>Entrada</t>
  </si>
  <si>
    <t>Data</t>
  </si>
  <si>
    <t>Conta Financeira</t>
  </si>
  <si>
    <t>Categoria</t>
  </si>
  <si>
    <t>Pagador/Cliente</t>
  </si>
  <si>
    <t>Nio</t>
  </si>
  <si>
    <t>Histórico</t>
  </si>
  <si>
    <t>Documento</t>
  </si>
  <si>
    <t>Contrato de Cessão, planilha do fluxo e comprovante do pagamento efetuado pela Nio</t>
  </si>
  <si>
    <t>Código Contábil</t>
  </si>
  <si>
    <t>Recebimento da Carteira Onitel Telecom  –  Valor pago pela Nio diretamente na Conta Banco do Brasil da  Telecom</t>
  </si>
  <si>
    <t>Liquidação parcial do preço da Carteira de Clientes mediante pagamento na Conta BB Onitel Telecom</t>
  </si>
  <si>
    <t>1.02.02.001 - Pagamentos por Conta e Ordem -  Nio</t>
  </si>
  <si>
    <t>3.07.02 - Venda de Carteira de Clientes</t>
  </si>
  <si>
    <t>Recebimento da Carteira Onitel Telecom  –  Valor pago pela Nio por Conta e Ordem à IT Investimentos / Lançamento 1</t>
  </si>
  <si>
    <t>Liquidação parcial do preço da Carteira de Clientes mediante pagamento pela Nio por Conta e Ordem à IT Investimentos</t>
  </si>
  <si>
    <t>Saída</t>
  </si>
  <si>
    <t>Pagamento da Comissão à IT Investimentos – Valor pago pela Nio por Conta e Ordem à IT Investimentos /               Lançamento 2</t>
  </si>
  <si>
    <t>4.03.01.027 - Despesas com Consultorias</t>
  </si>
  <si>
    <t>Pagamento da NF da IT Investimentos efetuado pela Nio por conta e ordem da Onitel Telecom</t>
  </si>
  <si>
    <t>NF emitida pela IT e comprovante do pagamento realizado pela Nio</t>
  </si>
  <si>
    <t>1.01.02.003.002 Banco do Brasil - Onitel Serviços - Ag 4275-7	Cc47908-X</t>
  </si>
  <si>
    <t>1.01.02.002.001 Banco do Brasil - Onitel Telecom -  Ag 3411-8 Cc 47907-1</t>
  </si>
  <si>
    <t>Liquidação parcial do preço da Carteira de Clientes mediante pagamento na Conta BB Onitel Serviços</t>
  </si>
  <si>
    <t>Onitel Serviços - Pagamento da Comissão à IT Investimentos – Valor pago pela Nio por Conta e Ordem à IT Investimentos / Lançamento 2</t>
  </si>
  <si>
    <t xml:space="preserve"> Recebimento da Carteira Onitel Serviços  –  Valor pago pela Nio por Conta e Ordem à IT Investimentos /                   Lançamento 1</t>
  </si>
  <si>
    <t>Recebimento da Carteira Onitel Serviços  –  Valor pago pela Nio diretamente na Conta Banco do Brasil da  Serviços</t>
  </si>
  <si>
    <t>Pagamento da NF da IT Investimentos efetuado pela Nio por conta e ordem da Onitel Serviços</t>
  </si>
  <si>
    <t xml:space="preserve"> Recebimento Venda Imobilizado Onitel Telecom  –  Valor pago pela Nio para Conta BB Onitel Telecom</t>
  </si>
  <si>
    <t>3.06.02 - Receita de Venda de Imobilizado</t>
  </si>
  <si>
    <t>Recebimento de Venda de Imobilizado conforme NF nº 353955 mediante pagamento pela Nio para BB Onitel Telecom</t>
  </si>
  <si>
    <t>Contrato de Cessão, planilha do fluxo e comprovante do pagamento efetuado pela Nio e NF nº 353955</t>
  </si>
  <si>
    <t xml:space="preserve"> Recebimento Set-up/Migração FTTx Onitel Serviços  –  Valor pago pela Nio para Conta BB Onitel Serviços</t>
  </si>
  <si>
    <t>3.03.01.005 — Receita Serviço Instalação/Desinstalação</t>
  </si>
  <si>
    <t>Recebimento de Venda de Imobilizado conforme NFS-e
 nº 11171 mediante pagamento pela Nio para BB Onitel Serviços</t>
  </si>
  <si>
    <t>Contrato de Cessão, planilha do fluxo e comprovante do pagamento efetuado pela Nio e NF-e  nº 11171</t>
  </si>
  <si>
    <t xml:space="preserve">3.03.01.006 — Receitas Aluguel de Portas </t>
  </si>
  <si>
    <t xml:space="preserve">Contrato de Cessão, planilha do fluxo e comprovante do pagamento efetuado pela Nio e NF nº </t>
  </si>
  <si>
    <t>Recebimento Portas Iluminadas FTTX / Aluguel de Portas Mensal Onitel Telecom - conforme fluxo de pagamentos</t>
  </si>
  <si>
    <t>Data Emissão NF</t>
  </si>
  <si>
    <t>Data Recebimento</t>
  </si>
  <si>
    <t>Observações</t>
  </si>
  <si>
    <t>Prestação de Serviço de SCM por 12 meses com emissão de NF de Telecomunicações</t>
  </si>
  <si>
    <t>3.03.03.001 — Receita Suporte Técnico N3</t>
  </si>
  <si>
    <t>Prestação mensal de serviços a emitir NF</t>
  </si>
  <si>
    <t xml:space="preserve">Prestação mensal de serviços a emitir NF		</t>
  </si>
  <si>
    <t>Previsão de Faturamento Mensal sem Glosa</t>
  </si>
  <si>
    <t xml:space="preserve"> Recebimento Suporte Técnico N3 Onitel Serviços  –  Valor a Pagar pela Nio para Conta BB Onitel Serviços -  12 Parcelas Mensais</t>
  </si>
  <si>
    <t xml:space="preserve"> Recebimento Portas Iluminadas FTTX / Aluguel de Portas Onitel Telecom  –  Valor a pagar pela Nio para Conta BB Onitel Telecom - 12 Parcelas Mensais</t>
  </si>
  <si>
    <t>Conforme fluxo de pagamento mensal - observar se haverá Glosa</t>
  </si>
  <si>
    <t>Contrato de Cessão, planilha do fluxo e comprovante do pagamento efetuado pela Nio e NF</t>
  </si>
  <si>
    <t>Recebimento Serviço Suporte Técnico N3 - conforme fluxo de pagamentos</t>
  </si>
  <si>
    <t>Conforme Tabela de Fluxo de Pagamentos</t>
  </si>
  <si>
    <t>3.05.05 - Receita - Variações Monetárias Ativas</t>
  </si>
  <si>
    <t>Deverá ser calculado no mês do pagamento conforme contrato - IPCA + 5%aa sobre saldo devedor</t>
  </si>
  <si>
    <t>Recebimento de Receita - Variações Monetárias Ativas  Onitel Serviços - Nio</t>
  </si>
  <si>
    <r>
      <rPr>
        <b/>
        <sz val="11"/>
        <color rgb="FF000000"/>
        <rFont val="Aptos Narrow"/>
        <scheme val="minor"/>
      </rPr>
      <t>* Observação</t>
    </r>
    <r>
      <rPr>
        <sz val="11"/>
        <color rgb="FF000000"/>
        <rFont val="Aptos Narrow"/>
        <scheme val="minor"/>
      </rPr>
      <t>: Na data de Recebimento dos valores conforme o fluxo de pagamentos abaixo, deverá ser calculado atualização monetária sobre o saldo devedor de todos as Rubricas. O valor deverá ser lançado segregado do valor de qualquer das Rubricas, mesmo que a Nio faça o pagamento em uma única transferência. Deverá ser lançado como Receita de Variação Monetária</t>
    </r>
  </si>
  <si>
    <t xml:space="preserve">1.01.02.002.001 Banco do Brasil - Onitel Telecom -  Ag 3411-8 Cc 47907-1		</t>
  </si>
  <si>
    <t>Onitel Serviços Recebimento Receita - Variações Monetárias Ativas –  Valor pago pela Nio para Conta BB Onitel Serviços</t>
  </si>
  <si>
    <r>
      <t xml:space="preserve">* Observação: </t>
    </r>
    <r>
      <rPr>
        <sz val="11"/>
        <color rgb="FF000000"/>
        <rFont val="Aptos Narrow"/>
        <scheme val="minor"/>
      </rPr>
      <t>Repetir esses lançamentos mensalmente, nas datas e valores conforme tabela abaixo:</t>
    </r>
  </si>
  <si>
    <t xml:space="preserve">Data </t>
  </si>
  <si>
    <t xml:space="preserve"> Recebimento Carteira de Cliente Onitel Telecom - Depósitos da Nio na Conta Escrow  - 20  Parcelas Mensais com Valores Variáveis Conforme Tabela  Abaixo.</t>
  </si>
  <si>
    <t>1.01.02.002.009 - Conta Escrow Onitel Telecom</t>
  </si>
  <si>
    <t>Liquidação parcial do preço da Carteira de Clientes mediante pagamento pela Nio por Conta e Ordem à Conta Escrow</t>
  </si>
  <si>
    <t>Contrato de Cessão, planilha do fluxo e comprovante de transferência efetuado pela Nio na Conta Escrow</t>
  </si>
  <si>
    <t>Repetir os lançamentos conforme as transferências para a Conta Escrow previstas para as datas e valores na tabela abaixo</t>
  </si>
  <si>
    <t>Conforme Tabela abaixo</t>
  </si>
  <si>
    <t xml:space="preserve">Conforme Tabela abaixo	</t>
  </si>
  <si>
    <t>Conforme tabela abaixo</t>
  </si>
  <si>
    <t>Liquidação parcial do preço da Carteira de Clientes mediante pagamento pelaOnitel Telecom referente a Valores que a Nio depositou na  Conta Escrow Onitel Telecom</t>
  </si>
  <si>
    <t>Contrato de Cessão, planilha do fluxo e comprovante de transferência efetuado pela Onitel Telecom</t>
  </si>
  <si>
    <t>Repetir os lançamentos conforme as transferências previstas para as datas e valores na tabela abaixo</t>
  </si>
  <si>
    <t>Tabela de Data e Valores - Pagamento a Credores Onitel Serviços</t>
  </si>
  <si>
    <t xml:space="preserve"> Recebimento Carteira de Cliente Onitel Serviços - Valores que a Nio depositou na  Conta Escrow Onitel Telecom /Parte Onitel Serviços - 20  Parcelas Mensais com Valores Variáveis Conforme Tabela  Abaixo.</t>
  </si>
  <si>
    <t>Soma dos Valores Carteira de Clientes -  Parte Onitel Serviços</t>
  </si>
  <si>
    <t>Telecom</t>
  </si>
  <si>
    <t>Serviços</t>
  </si>
  <si>
    <t xml:space="preserve">IT Investimentos </t>
  </si>
  <si>
    <t>Soma Valores Connectx</t>
  </si>
  <si>
    <t>Tabela de Data e Valores - Pagamento a Credores Onitel Telecom - Conta Escrow</t>
  </si>
  <si>
    <t>Tabela de Datas e Valores Recebidos - Carteira de Clientes -  Onitel Telecom na Conta Escrow Onitel Telecom</t>
  </si>
  <si>
    <t>Tabela de Datas e Valores Recebidos - Carteira de Clientes -  Onitel Serviços na Conta Escrow Onitel Telecom</t>
  </si>
  <si>
    <t xml:space="preserve">Tabela de Valores Recebidos  - Carteira de Clientes  à IT Investimentos </t>
  </si>
  <si>
    <t xml:space="preserve"> Onitel Telecom Recebimento Receita - Variações Monetárias Ativas –  Valor pago pela Nio para Conta BB Onitel Telecom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</si>
</sst>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3" formatCode="_-* #,##0.00_-;\-* #,##0.00_-;_-* &quot;-&quot;??_-;_-@_-"/>
    <numFmt numFmtId="164" formatCode="#,##0_);\(#,##0\);&quot;-&quot;_)"/>
    <numFmt numFmtId="165" formatCode="#,##0.0_)%;\(#,##0.0%\);&quot;-&quot;\%_)"/>
    <numFmt numFmtId="166" formatCode="#,##0.000000000000_);\(#,##0.000000000000\);&quot;-&quot;_)"/>
    <numFmt numFmtId="167" formatCode="_-* #,##0.0000_-;\-* #,##0.0000_-;_-* &quot;-&quot;??_-;_-@_-"/>
    <numFmt numFmtId="168" formatCode="_-* #,##0.000000_-;\-* #,##0.000000_-;_-* &quot;-&quot;??_-;_-@_-"/>
    <numFmt numFmtId="169" formatCode="0.00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Aptos Narrow"/>
      <family val="2"/>
      <scheme val="minor"/>
    </font>
    <font>
      <i/>
      <sz val="11"/>
      <color theme="0" tint="-0.34998626667073579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43" fontId="1" fillId="0" borderId="0" applyFont="0" applyFill="0" applyBorder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164" fontId="0" fillId="0" borderId="0" xfId="0" applyNumberFormat="1"/>
    <xf numFmtId="164" fontId="0" fillId="0" borderId="1" xfId="0" applyNumberFormat="1" applyBorder="1"/>
    <xf numFmtId="0" fontId="3" fillId="0" borderId="2" xfId="0" applyFont="1" applyBorder="1"/>
    <xf numFmtId="165" fontId="4" fillId="0" borderId="0" xfId="0" applyNumberFormat="1" applyFont="1"/>
    <xf numFmtId="17" fontId="3" fillId="2" borderId="0" xfId="0" applyNumberFormat="1" applyFont="1" applyFill="1"/>
    <xf numFmtId="17" fontId="3" fillId="0" borderId="0" xfId="0" applyNumberFormat="1" applyFont="1"/>
    <xf numFmtId="164" fontId="3" fillId="0" borderId="3" xfId="0" applyNumberFormat="1" applyFont="1" applyBorder="1"/>
    <xf numFmtId="0" fontId="3" fillId="3" borderId="2" xfId="0" applyFont="1" applyFill="1" applyBorder="1"/>
    <xf numFmtId="164" fontId="3" fillId="3" borderId="2" xfId="0" applyNumberFormat="1" applyFont="1" applyFill="1" applyBorder="1"/>
    <xf numFmtId="166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164" fontId="5" fillId="0" borderId="0" xfId="0" applyNumberFormat="1" applyFont="1"/>
    <xf numFmtId="0" fontId="5" fillId="0" borderId="0" xfId="0" applyFont="1" applyAlignment="1">
      <alignment horizontal="left" indent="2"/>
    </xf>
    <xf numFmtId="164" fontId="5" fillId="0" borderId="1" xfId="0" applyNumberFormat="1" applyFont="1" applyBorder="1"/>
    <xf numFmtId="0" fontId="0" fillId="0" borderId="0" xfId="0" applyAlignment="1">
      <alignment horizontal="left"/>
    </xf>
    <xf numFmtId="164" fontId="3" fillId="3" borderId="3" xfId="0" applyNumberFormat="1" applyFont="1" applyFill="1" applyBorder="1"/>
    <xf numFmtId="17" fontId="3" fillId="2" borderId="0" xfId="0" applyNumberFormat="1" applyFont="1" applyFill="1" applyAlignment="1">
      <alignment horizontal="right"/>
    </xf>
    <xf numFmtId="164" fontId="3" fillId="0" borderId="2" xfId="0" applyNumberFormat="1" applyFont="1" applyBorder="1"/>
    <xf numFmtId="0" fontId="5" fillId="4" borderId="0" xfId="0" applyFont="1" applyFill="1" applyAlignment="1">
      <alignment horizontal="left" indent="2"/>
    </xf>
    <xf numFmtId="0" fontId="6" fillId="0" borderId="0" xfId="0" applyFont="1"/>
    <xf numFmtId="0" fontId="7" fillId="0" borderId="0" xfId="0" applyFont="1"/>
    <xf numFmtId="14" fontId="0" fillId="0" borderId="0" xfId="0" applyNumberFormat="1"/>
    <xf numFmtId="43" fontId="0" fillId="0" borderId="0" xfId="3" applyFont="1"/>
    <xf numFmtId="43" fontId="0" fillId="0" borderId="0" xfId="0" applyNumberFormat="1"/>
    <xf numFmtId="0" fontId="0" fillId="0" borderId="0" xfId="0" applyAlignment="1">
      <alignment vertical="center" wrapText="1"/>
    </xf>
    <xf numFmtId="43" fontId="0" fillId="0" borderId="0" xfId="3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167" fontId="0" fillId="0" borderId="0" xfId="3" applyNumberFormat="1" applyFont="1"/>
    <xf numFmtId="168" fontId="0" fillId="0" borderId="0" xfId="3" applyNumberFormat="1" applyFont="1"/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3" fontId="0" fillId="0" borderId="4" xfId="3" applyFont="1" applyBorder="1"/>
    <xf numFmtId="43" fontId="0" fillId="0" borderId="0" xfId="0" applyNumberFormat="1" applyAlignment="1">
      <alignment vertical="center"/>
    </xf>
    <xf numFmtId="169" fontId="0" fillId="0" borderId="0" xfId="4" applyNumberFormat="1" applyFon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0" borderId="4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8" fillId="0" borderId="4" xfId="0" applyFont="1" applyBorder="1" applyAlignment="1">
      <alignment vertical="center" wrapText="1"/>
    </xf>
    <xf numFmtId="14" fontId="11" fillId="0" borderId="4" xfId="0" applyNumberFormat="1" applyFont="1" applyBorder="1" applyAlignment="1">
      <alignment horizontal="left" vertical="center" wrapText="1"/>
    </xf>
    <xf numFmtId="8" fontId="11" fillId="0" borderId="4" xfId="0" applyNumberFormat="1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 wrapText="1"/>
    </xf>
    <xf numFmtId="0" fontId="11" fillId="0" borderId="0" xfId="0" applyFont="1" applyBorder="1" applyAlignment="1">
      <alignment horizontal="left" vertical="center" wrapText="1"/>
    </xf>
    <xf numFmtId="0" fontId="12" fillId="0" borderId="0" xfId="0" applyFont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  <xf numFmtId="14" fontId="11" fillId="0" borderId="5" xfId="0" applyNumberFormat="1" applyFont="1" applyBorder="1" applyAlignment="1">
      <alignment horizontal="left" vertical="center" wrapText="1"/>
    </xf>
    <xf numFmtId="14" fontId="11" fillId="0" borderId="7" xfId="0" applyNumberFormat="1" applyFont="1" applyBorder="1" applyAlignment="1">
      <alignment horizontal="left" vertical="center" wrapText="1"/>
    </xf>
    <xf numFmtId="14" fontId="11" fillId="0" borderId="6" xfId="0" applyNumberFormat="1" applyFont="1" applyBorder="1" applyAlignment="1">
      <alignment horizontal="left" vertical="center" wrapText="1"/>
    </xf>
    <xf numFmtId="0" fontId="10" fillId="0" borderId="4" xfId="0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 wrapText="1"/>
    </xf>
    <xf numFmtId="14" fontId="0" fillId="0" borderId="4" xfId="0" applyNumberFormat="1" applyBorder="1"/>
    <xf numFmtId="0" fontId="11" fillId="0" borderId="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43" fontId="0" fillId="0" borderId="4" xfId="3" applyFont="1" applyBorder="1" applyAlignment="1">
      <alignment horizontal="center" vertical="center"/>
    </xf>
    <xf numFmtId="43" fontId="0" fillId="0" borderId="0" xfId="3" applyFont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8" fontId="11" fillId="0" borderId="5" xfId="0" applyNumberFormat="1" applyFont="1" applyBorder="1" applyAlignment="1">
      <alignment horizontal="left" vertical="center" wrapText="1"/>
    </xf>
    <xf numFmtId="8" fontId="11" fillId="0" borderId="7" xfId="0" applyNumberFormat="1" applyFont="1" applyBorder="1" applyAlignment="1">
      <alignment horizontal="left" vertical="center" wrapText="1"/>
    </xf>
    <xf numFmtId="8" fontId="11" fillId="0" borderId="6" xfId="0" applyNumberFormat="1" applyFont="1" applyBorder="1" applyAlignment="1">
      <alignment horizontal="left" vertical="center" wrapText="1"/>
    </xf>
    <xf numFmtId="14" fontId="9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0" borderId="4" xfId="0" applyFont="1" applyFill="1" applyBorder="1" applyAlignment="1">
      <alignment horizontal="left" vertical="center" wrapText="1"/>
    </xf>
    <xf numFmtId="0" fontId="10" fillId="0" borderId="10" xfId="0" applyFont="1" applyFill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Fill="1" applyBorder="1" applyAlignment="1">
      <alignment horizontal="left" vertical="center"/>
    </xf>
    <xf numFmtId="0" fontId="10" fillId="0" borderId="7" xfId="0" applyFont="1" applyFill="1" applyBorder="1" applyAlignment="1">
      <alignment horizontal="left" vertical="center"/>
    </xf>
    <xf numFmtId="0" fontId="10" fillId="0" borderId="6" xfId="0" applyFont="1" applyFill="1" applyBorder="1" applyAlignment="1">
      <alignment horizontal="left" vertical="center"/>
    </xf>
    <xf numFmtId="43" fontId="0" fillId="0" borderId="4" xfId="0" applyNumberFormat="1" applyBorder="1"/>
    <xf numFmtId="0" fontId="10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vertical="center" wrapText="1"/>
    </xf>
    <xf numFmtId="0" fontId="0" fillId="0" borderId="4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 wrapText="1"/>
    </xf>
    <xf numFmtId="17" fontId="0" fillId="0" borderId="4" xfId="0" applyNumberFormat="1" applyBorder="1"/>
    <xf numFmtId="0" fontId="11" fillId="0" borderId="11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</cellXfs>
  <cellStyles count="5">
    <cellStyle name="Comma 2" xfId="2" xr:uid="{4F5C782D-03EA-4627-B955-A97548275BA1}"/>
    <cellStyle name="Normal" xfId="0" builtinId="0"/>
    <cellStyle name="Normal 2" xfId="1" xr:uid="{473AA21B-2A84-46B7-B869-3551EEC30F29}"/>
    <cellStyle name="Porcentagem" xfId="4" builtinId="5"/>
    <cellStyle name="Vírgula" xfId="3" builtinId="3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2803B-A63C-43C3-A58C-94A47B809FCC}">
  <dimension ref="B2:BH43"/>
  <sheetViews>
    <sheetView showGridLines="0" zoomScale="157" zoomScaleNormal="80" workbookViewId="0">
      <pane xSplit="3" ySplit="4" topLeftCell="D7" activePane="bottomRight" state="frozen"/>
      <selection pane="topRight" activeCell="D1" sqref="D1"/>
      <selection pane="bottomLeft" activeCell="A5" sqref="A5"/>
      <selection pane="bottomRight" activeCell="C11" sqref="C11:C15"/>
    </sheetView>
  </sheetViews>
  <sheetFormatPr baseColWidth="10" defaultColWidth="8.83203125" defaultRowHeight="15" outlineLevelRow="1" x14ac:dyDescent="0.2"/>
  <cols>
    <col min="1" max="1" width="4.1640625" customWidth="1"/>
    <col min="2" max="2" width="13.6640625" bestFit="1" customWidth="1"/>
    <col min="3" max="3" width="38.1640625" bestFit="1" customWidth="1"/>
    <col min="4" max="4" width="36.6640625" customWidth="1"/>
    <col min="5" max="5" width="20.6640625" customWidth="1"/>
    <col min="6" max="8" width="13.6640625" customWidth="1"/>
    <col min="9" max="9" width="21.83203125" customWidth="1"/>
    <col min="10" max="10" width="15.6640625" bestFit="1" customWidth="1"/>
    <col min="11" max="11" width="14" bestFit="1" customWidth="1"/>
    <col min="12" max="12" width="12.1640625" bestFit="1" customWidth="1"/>
    <col min="13" max="13" width="11.1640625" bestFit="1" customWidth="1"/>
    <col min="14" max="14" width="11.5" bestFit="1" customWidth="1"/>
    <col min="15" max="16" width="11.1640625" bestFit="1" customWidth="1"/>
    <col min="17" max="17" width="11.5" bestFit="1" customWidth="1"/>
    <col min="18" max="19" width="11.1640625" bestFit="1" customWidth="1"/>
    <col min="20" max="20" width="11.5" bestFit="1" customWidth="1"/>
    <col min="21" max="22" width="11.1640625" bestFit="1" customWidth="1"/>
    <col min="23" max="23" width="11.5" bestFit="1" customWidth="1"/>
    <col min="24" max="26" width="11.1640625" bestFit="1" customWidth="1"/>
    <col min="27" max="32" width="10.1640625" bestFit="1" customWidth="1"/>
    <col min="33" max="33" width="9.83203125" bestFit="1" customWidth="1"/>
    <col min="34" max="34" width="9.5" bestFit="1" customWidth="1"/>
    <col min="35" max="35" width="12.6640625" bestFit="1" customWidth="1"/>
    <col min="36" max="36" width="9.6640625" bestFit="1" customWidth="1"/>
    <col min="37" max="38" width="9.5" bestFit="1" customWidth="1"/>
    <col min="39" max="39" width="9.83203125" bestFit="1" customWidth="1"/>
    <col min="40" max="40" width="9.6640625" bestFit="1" customWidth="1"/>
    <col min="41" max="41" width="9.33203125" bestFit="1" customWidth="1"/>
    <col min="42" max="42" width="9.5" bestFit="1" customWidth="1"/>
    <col min="43" max="43" width="10" bestFit="1" customWidth="1"/>
    <col min="44" max="44" width="9.5" bestFit="1" customWidth="1"/>
    <col min="45" max="45" width="9.83203125" bestFit="1" customWidth="1"/>
    <col min="46" max="46" width="9.5" bestFit="1" customWidth="1"/>
    <col min="47" max="47" width="14" bestFit="1" customWidth="1"/>
    <col min="48" max="48" width="9.6640625" bestFit="1" customWidth="1"/>
    <col min="49" max="50" width="9.5" bestFit="1" customWidth="1"/>
    <col min="51" max="51" width="9.83203125" bestFit="1" customWidth="1"/>
    <col min="52" max="52" width="9.6640625" bestFit="1" customWidth="1"/>
    <col min="53" max="53" width="9.33203125" bestFit="1" customWidth="1"/>
    <col min="54" max="54" width="9.5" bestFit="1" customWidth="1"/>
    <col min="55" max="55" width="10" bestFit="1" customWidth="1"/>
    <col min="56" max="56" width="9.5" bestFit="1" customWidth="1"/>
    <col min="57" max="57" width="9.83203125" bestFit="1" customWidth="1"/>
    <col min="58" max="58" width="9.5" bestFit="1" customWidth="1"/>
    <col min="59" max="59" width="14" bestFit="1" customWidth="1"/>
    <col min="60" max="60" width="11.6640625" bestFit="1" customWidth="1"/>
  </cols>
  <sheetData>
    <row r="2" spans="2:59" x14ac:dyDescent="0.2">
      <c r="B2" s="5" t="s">
        <v>42</v>
      </c>
      <c r="C2" s="5" t="s">
        <v>6</v>
      </c>
      <c r="D2" s="5" t="s">
        <v>60</v>
      </c>
      <c r="E2" s="5" t="s">
        <v>45</v>
      </c>
      <c r="F2" s="23" t="s">
        <v>23</v>
      </c>
      <c r="G2" s="23" t="s">
        <v>24</v>
      </c>
      <c r="H2" s="23" t="s">
        <v>25</v>
      </c>
      <c r="I2" s="23" t="s">
        <v>47</v>
      </c>
      <c r="J2" s="23" t="s">
        <v>0</v>
      </c>
      <c r="K2" s="5">
        <v>46204</v>
      </c>
      <c r="L2" s="5">
        <f>EDATE(K2,1)</f>
        <v>46235</v>
      </c>
      <c r="M2" s="5">
        <f t="shared" ref="M2:BG2" si="0">EDATE(L2,1)</f>
        <v>46266</v>
      </c>
      <c r="N2" s="5">
        <f t="shared" si="0"/>
        <v>46296</v>
      </c>
      <c r="O2" s="5">
        <f t="shared" si="0"/>
        <v>46327</v>
      </c>
      <c r="P2" s="5">
        <f t="shared" si="0"/>
        <v>46357</v>
      </c>
      <c r="Q2" s="5">
        <f t="shared" si="0"/>
        <v>46388</v>
      </c>
      <c r="R2" s="5">
        <f t="shared" si="0"/>
        <v>46419</v>
      </c>
      <c r="S2" s="5">
        <f t="shared" si="0"/>
        <v>46447</v>
      </c>
      <c r="T2" s="5">
        <f t="shared" si="0"/>
        <v>46478</v>
      </c>
      <c r="U2" s="5">
        <f t="shared" si="0"/>
        <v>46508</v>
      </c>
      <c r="V2" s="5">
        <f t="shared" si="0"/>
        <v>46539</v>
      </c>
      <c r="W2" s="5">
        <f t="shared" si="0"/>
        <v>46569</v>
      </c>
      <c r="X2" s="5">
        <f t="shared" si="0"/>
        <v>46600</v>
      </c>
      <c r="Y2" s="5">
        <f t="shared" si="0"/>
        <v>46631</v>
      </c>
      <c r="Z2" s="5">
        <f t="shared" si="0"/>
        <v>46661</v>
      </c>
      <c r="AA2" s="5">
        <f t="shared" si="0"/>
        <v>46692</v>
      </c>
      <c r="AB2" s="5">
        <f t="shared" si="0"/>
        <v>46722</v>
      </c>
      <c r="AC2" s="5">
        <f t="shared" si="0"/>
        <v>46753</v>
      </c>
      <c r="AD2" s="5">
        <f t="shared" si="0"/>
        <v>46784</v>
      </c>
      <c r="AE2" s="5">
        <f t="shared" si="0"/>
        <v>46813</v>
      </c>
      <c r="AF2" s="5">
        <f t="shared" si="0"/>
        <v>46844</v>
      </c>
      <c r="AG2" s="5">
        <f t="shared" si="0"/>
        <v>46874</v>
      </c>
      <c r="AH2" s="5">
        <f t="shared" si="0"/>
        <v>46905</v>
      </c>
      <c r="AI2" s="5">
        <f t="shared" si="0"/>
        <v>46935</v>
      </c>
      <c r="AJ2" s="5">
        <f t="shared" si="0"/>
        <v>46966</v>
      </c>
      <c r="AK2" s="5">
        <f t="shared" si="0"/>
        <v>46997</v>
      </c>
      <c r="AL2" s="5">
        <f t="shared" si="0"/>
        <v>47027</v>
      </c>
      <c r="AM2" s="5">
        <f t="shared" si="0"/>
        <v>47058</v>
      </c>
      <c r="AN2" s="5">
        <f t="shared" si="0"/>
        <v>47088</v>
      </c>
      <c r="AO2" s="5">
        <f t="shared" si="0"/>
        <v>47119</v>
      </c>
      <c r="AP2" s="5">
        <f t="shared" si="0"/>
        <v>47150</v>
      </c>
      <c r="AQ2" s="5">
        <f t="shared" si="0"/>
        <v>47178</v>
      </c>
      <c r="AR2" s="5">
        <f t="shared" si="0"/>
        <v>47209</v>
      </c>
      <c r="AS2" s="5">
        <f t="shared" si="0"/>
        <v>47239</v>
      </c>
      <c r="AT2" s="5">
        <f t="shared" si="0"/>
        <v>47270</v>
      </c>
      <c r="AU2" s="5">
        <f t="shared" si="0"/>
        <v>47300</v>
      </c>
      <c r="AV2" s="5">
        <f t="shared" si="0"/>
        <v>47331</v>
      </c>
      <c r="AW2" s="5">
        <f t="shared" si="0"/>
        <v>47362</v>
      </c>
      <c r="AX2" s="5">
        <f t="shared" si="0"/>
        <v>47392</v>
      </c>
      <c r="AY2" s="5">
        <f t="shared" si="0"/>
        <v>47423</v>
      </c>
      <c r="AZ2" s="5">
        <f t="shared" si="0"/>
        <v>47453</v>
      </c>
      <c r="BA2" s="5">
        <f t="shared" si="0"/>
        <v>47484</v>
      </c>
      <c r="BB2" s="5">
        <f t="shared" si="0"/>
        <v>47515</v>
      </c>
      <c r="BC2" s="5">
        <f t="shared" si="0"/>
        <v>47543</v>
      </c>
      <c r="BD2" s="5">
        <f t="shared" si="0"/>
        <v>47574</v>
      </c>
      <c r="BE2" s="5">
        <f t="shared" si="0"/>
        <v>47604</v>
      </c>
      <c r="BF2" s="5">
        <f t="shared" si="0"/>
        <v>47635</v>
      </c>
      <c r="BG2" s="5">
        <f t="shared" si="0"/>
        <v>47665</v>
      </c>
    </row>
    <row r="3" spans="2:59" x14ac:dyDescent="0.2"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</row>
    <row r="4" spans="2:59" x14ac:dyDescent="0.2">
      <c r="B4" t="s">
        <v>43</v>
      </c>
      <c r="C4" t="s">
        <v>5</v>
      </c>
      <c r="D4" s="21" t="s">
        <v>46</v>
      </c>
      <c r="E4" s="12" t="s">
        <v>59</v>
      </c>
      <c r="F4" s="11" t="s">
        <v>46</v>
      </c>
      <c r="G4" s="11" t="s">
        <v>46</v>
      </c>
      <c r="H4" s="11" t="s">
        <v>46</v>
      </c>
      <c r="I4" s="11" t="s">
        <v>46</v>
      </c>
      <c r="J4" s="2">
        <f>SUM(K4:BG4)</f>
        <v>65920878.186980911</v>
      </c>
      <c r="K4" s="1">
        <f>SUM(K5:K6)</f>
        <v>12924927.176094271</v>
      </c>
      <c r="L4" s="1">
        <f t="shared" ref="L4:BG4" si="1">SUM(L5:L6)</f>
        <v>0</v>
      </c>
      <c r="M4" s="1">
        <f t="shared" si="1"/>
        <v>0</v>
      </c>
      <c r="N4" s="1">
        <f t="shared" si="1"/>
        <v>0</v>
      </c>
      <c r="O4" s="1">
        <f t="shared" si="1"/>
        <v>0</v>
      </c>
      <c r="P4" s="1">
        <f t="shared" si="1"/>
        <v>0</v>
      </c>
      <c r="Q4" s="1">
        <f t="shared" si="1"/>
        <v>0</v>
      </c>
      <c r="R4" s="1">
        <f t="shared" si="1"/>
        <v>0</v>
      </c>
      <c r="S4" s="1">
        <f t="shared" si="1"/>
        <v>0</v>
      </c>
      <c r="T4" s="1">
        <f t="shared" si="1"/>
        <v>0</v>
      </c>
      <c r="U4" s="1">
        <f t="shared" si="1"/>
        <v>0</v>
      </c>
      <c r="V4" s="1">
        <f t="shared" si="1"/>
        <v>0</v>
      </c>
      <c r="W4" s="1">
        <f t="shared" si="1"/>
        <v>0</v>
      </c>
      <c r="X4" s="1">
        <f t="shared" si="1"/>
        <v>0</v>
      </c>
      <c r="Y4" s="1">
        <f t="shared" si="1"/>
        <v>0</v>
      </c>
      <c r="Z4" s="1">
        <f t="shared" si="1"/>
        <v>0</v>
      </c>
      <c r="AA4" s="1">
        <f t="shared" si="1"/>
        <v>0</v>
      </c>
      <c r="AB4" s="1">
        <f t="shared" si="1"/>
        <v>0</v>
      </c>
      <c r="AC4" s="1">
        <f t="shared" si="1"/>
        <v>0</v>
      </c>
      <c r="AD4" s="1">
        <f t="shared" si="1"/>
        <v>0</v>
      </c>
      <c r="AE4" s="1">
        <f t="shared" si="1"/>
        <v>0</v>
      </c>
      <c r="AF4" s="1">
        <f t="shared" si="1"/>
        <v>0</v>
      </c>
      <c r="AG4" s="1">
        <f t="shared" si="1"/>
        <v>0</v>
      </c>
      <c r="AH4" s="1">
        <f t="shared" si="1"/>
        <v>0</v>
      </c>
      <c r="AI4" s="1">
        <f t="shared" si="1"/>
        <v>4711951.0108866403</v>
      </c>
      <c r="AJ4" s="1">
        <f t="shared" si="1"/>
        <v>0</v>
      </c>
      <c r="AK4" s="1">
        <f t="shared" si="1"/>
        <v>0</v>
      </c>
      <c r="AL4" s="1">
        <f t="shared" si="1"/>
        <v>0</v>
      </c>
      <c r="AM4" s="1">
        <f t="shared" si="1"/>
        <v>0</v>
      </c>
      <c r="AN4" s="1">
        <f t="shared" si="1"/>
        <v>0</v>
      </c>
      <c r="AO4" s="1">
        <f t="shared" si="1"/>
        <v>0</v>
      </c>
      <c r="AP4" s="1">
        <f t="shared" si="1"/>
        <v>0</v>
      </c>
      <c r="AQ4" s="1">
        <f t="shared" si="1"/>
        <v>0</v>
      </c>
      <c r="AR4" s="1">
        <f t="shared" si="1"/>
        <v>0</v>
      </c>
      <c r="AS4" s="1">
        <f t="shared" si="1"/>
        <v>0</v>
      </c>
      <c r="AT4" s="1">
        <f t="shared" si="1"/>
        <v>0</v>
      </c>
      <c r="AU4" s="1">
        <f t="shared" si="1"/>
        <v>24142000</v>
      </c>
      <c r="AV4" s="1">
        <f t="shared" si="1"/>
        <v>0</v>
      </c>
      <c r="AW4" s="1">
        <f t="shared" si="1"/>
        <v>0</v>
      </c>
      <c r="AX4" s="1">
        <f t="shared" si="1"/>
        <v>0</v>
      </c>
      <c r="AY4" s="1">
        <f t="shared" si="1"/>
        <v>0</v>
      </c>
      <c r="AZ4" s="1">
        <f t="shared" si="1"/>
        <v>0</v>
      </c>
      <c r="BA4" s="1">
        <f t="shared" si="1"/>
        <v>0</v>
      </c>
      <c r="BB4" s="1">
        <f t="shared" si="1"/>
        <v>0</v>
      </c>
      <c r="BC4" s="1">
        <f t="shared" si="1"/>
        <v>0</v>
      </c>
      <c r="BD4" s="1">
        <f t="shared" si="1"/>
        <v>0</v>
      </c>
      <c r="BE4" s="1">
        <f t="shared" si="1"/>
        <v>0</v>
      </c>
      <c r="BF4" s="1">
        <f t="shared" si="1"/>
        <v>0</v>
      </c>
      <c r="BG4" s="1">
        <f t="shared" si="1"/>
        <v>24142000</v>
      </c>
    </row>
    <row r="5" spans="2:59" s="16" customFormat="1" outlineLevel="1" x14ac:dyDescent="0.2">
      <c r="B5" s="19" t="s">
        <v>43</v>
      </c>
      <c r="C5" s="19" t="s">
        <v>48</v>
      </c>
      <c r="D5" s="19" t="s">
        <v>57</v>
      </c>
      <c r="E5" s="15" t="s">
        <v>59</v>
      </c>
      <c r="F5" s="16">
        <v>1</v>
      </c>
      <c r="G5" s="17" t="s">
        <v>52</v>
      </c>
      <c r="H5" s="17" t="s">
        <v>54</v>
      </c>
      <c r="I5" s="17" t="s">
        <v>49</v>
      </c>
      <c r="J5" s="20">
        <f t="shared" ref="J5:J19" si="2">SUM(K5:BG5)</f>
        <v>42649550.918097198</v>
      </c>
      <c r="K5" s="18">
        <v>8362181.3736455785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3048542.4358633407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  <c r="AT5" s="18">
        <v>0</v>
      </c>
      <c r="AU5" s="18">
        <v>15619413.554294141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18">
        <v>0</v>
      </c>
      <c r="BG5" s="18">
        <v>15619413.554294141</v>
      </c>
    </row>
    <row r="6" spans="2:59" s="16" customFormat="1" outlineLevel="1" x14ac:dyDescent="0.2">
      <c r="B6" s="19" t="s">
        <v>43</v>
      </c>
      <c r="C6" s="19" t="s">
        <v>51</v>
      </c>
      <c r="D6" s="19" t="s">
        <v>56</v>
      </c>
      <c r="E6" s="15" t="s">
        <v>59</v>
      </c>
      <c r="F6" s="16">
        <v>1</v>
      </c>
      <c r="G6" s="17" t="s">
        <v>53</v>
      </c>
      <c r="H6" s="17" t="s">
        <v>55</v>
      </c>
      <c r="I6" s="17" t="s">
        <v>50</v>
      </c>
      <c r="J6" s="20">
        <f t="shared" si="2"/>
        <v>23271327.268883705</v>
      </c>
      <c r="K6" s="18">
        <v>4562745.8024486918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D6" s="18">
        <v>0</v>
      </c>
      <c r="AE6" s="18">
        <v>0</v>
      </c>
      <c r="AF6" s="18">
        <v>0</v>
      </c>
      <c r="AG6" s="18">
        <v>0</v>
      </c>
      <c r="AH6" s="18">
        <v>0</v>
      </c>
      <c r="AI6" s="18">
        <v>1663408.5750232993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8">
        <v>8522586.4457058571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8">
        <v>8522586.4457058571</v>
      </c>
    </row>
    <row r="7" spans="2:59" x14ac:dyDescent="0.2">
      <c r="B7" t="s">
        <v>43</v>
      </c>
      <c r="C7" t="s">
        <v>38</v>
      </c>
      <c r="D7" t="s">
        <v>58</v>
      </c>
      <c r="E7" s="12" t="s">
        <v>59</v>
      </c>
      <c r="F7">
        <v>765</v>
      </c>
      <c r="G7" s="11" t="s">
        <v>39</v>
      </c>
      <c r="H7" s="11" t="s">
        <v>40</v>
      </c>
      <c r="I7" s="11" t="s">
        <v>41</v>
      </c>
      <c r="J7" s="2">
        <f t="shared" si="2"/>
        <v>4959000</v>
      </c>
      <c r="K7" s="1">
        <v>3000000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653000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653000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653000</v>
      </c>
    </row>
    <row r="8" spans="2:59" x14ac:dyDescent="0.2">
      <c r="B8" t="s">
        <v>43</v>
      </c>
      <c r="C8" t="s">
        <v>44</v>
      </c>
      <c r="D8" s="21" t="s">
        <v>46</v>
      </c>
      <c r="E8" s="12" t="s">
        <v>46</v>
      </c>
      <c r="F8" s="11" t="s">
        <v>46</v>
      </c>
      <c r="G8" s="11" t="s">
        <v>46</v>
      </c>
      <c r="H8" s="11" t="s">
        <v>46</v>
      </c>
      <c r="I8" s="11" t="s">
        <v>46</v>
      </c>
      <c r="J8" s="2">
        <f t="shared" si="2"/>
        <v>6615200.7700000014</v>
      </c>
      <c r="K8" s="1">
        <f>SUM(K9:K18)</f>
        <v>0</v>
      </c>
      <c r="L8" s="1">
        <f t="shared" ref="L8" si="3">SUM(L9:L18)</f>
        <v>0</v>
      </c>
      <c r="M8" s="1">
        <f>SUM(M9:M18)</f>
        <v>772015.09</v>
      </c>
      <c r="N8" s="1">
        <f t="shared" ref="N8:BG8" si="4">SUM(N9:N18)</f>
        <v>852023.41999999993</v>
      </c>
      <c r="O8" s="1">
        <f t="shared" si="4"/>
        <v>772015.09</v>
      </c>
      <c r="P8" s="1">
        <f t="shared" si="4"/>
        <v>540113.11</v>
      </c>
      <c r="Q8" s="1">
        <f t="shared" si="4"/>
        <v>460129.27999999997</v>
      </c>
      <c r="R8" s="1">
        <f t="shared" si="4"/>
        <v>537811.52</v>
      </c>
      <c r="S8" s="1">
        <f t="shared" si="4"/>
        <v>443632.36</v>
      </c>
      <c r="T8" s="1">
        <f t="shared" si="4"/>
        <v>522031.42</v>
      </c>
      <c r="U8" s="1">
        <f t="shared" si="4"/>
        <v>204484.7</v>
      </c>
      <c r="V8" s="1">
        <f t="shared" si="4"/>
        <v>204493.03</v>
      </c>
      <c r="W8" s="1">
        <f t="shared" si="4"/>
        <v>204484.7</v>
      </c>
      <c r="X8" s="1">
        <f t="shared" si="4"/>
        <v>204493.03</v>
      </c>
      <c r="Y8" s="1">
        <f t="shared" si="4"/>
        <v>201801.96</v>
      </c>
      <c r="Z8" s="1">
        <f t="shared" si="4"/>
        <v>201810.33</v>
      </c>
      <c r="AA8" s="1">
        <f t="shared" si="4"/>
        <v>85143.59</v>
      </c>
      <c r="AB8" s="1">
        <f t="shared" si="4"/>
        <v>85143.59</v>
      </c>
      <c r="AC8" s="1">
        <f t="shared" si="4"/>
        <v>82669.48000000001</v>
      </c>
      <c r="AD8" s="1">
        <f t="shared" si="4"/>
        <v>80301.69</v>
      </c>
      <c r="AE8" s="1">
        <f t="shared" si="4"/>
        <v>80301.69</v>
      </c>
      <c r="AF8" s="1">
        <f t="shared" si="4"/>
        <v>80301.69</v>
      </c>
      <c r="AG8" s="1">
        <f t="shared" si="4"/>
        <v>0</v>
      </c>
      <c r="AH8" s="1">
        <f t="shared" si="4"/>
        <v>0</v>
      </c>
      <c r="AI8" s="1">
        <f t="shared" si="4"/>
        <v>0</v>
      </c>
      <c r="AJ8" s="1">
        <f t="shared" si="4"/>
        <v>0</v>
      </c>
      <c r="AK8" s="1">
        <f t="shared" si="4"/>
        <v>0</v>
      </c>
      <c r="AL8" s="1">
        <f t="shared" si="4"/>
        <v>0</v>
      </c>
      <c r="AM8" s="1">
        <f t="shared" si="4"/>
        <v>0</v>
      </c>
      <c r="AN8" s="1">
        <f t="shared" si="4"/>
        <v>0</v>
      </c>
      <c r="AO8" s="1">
        <f t="shared" si="4"/>
        <v>0</v>
      </c>
      <c r="AP8" s="1">
        <f t="shared" si="4"/>
        <v>0</v>
      </c>
      <c r="AQ8" s="1">
        <f t="shared" si="4"/>
        <v>0</v>
      </c>
      <c r="AR8" s="1">
        <f t="shared" si="4"/>
        <v>0</v>
      </c>
      <c r="AS8" s="1">
        <f t="shared" si="4"/>
        <v>0</v>
      </c>
      <c r="AT8" s="1">
        <f t="shared" si="4"/>
        <v>0</v>
      </c>
      <c r="AU8" s="1">
        <f t="shared" si="4"/>
        <v>0</v>
      </c>
      <c r="AV8" s="1">
        <f t="shared" si="4"/>
        <v>0</v>
      </c>
      <c r="AW8" s="1">
        <f t="shared" si="4"/>
        <v>0</v>
      </c>
      <c r="AX8" s="1">
        <f t="shared" si="4"/>
        <v>0</v>
      </c>
      <c r="AY8" s="1">
        <f t="shared" si="4"/>
        <v>0</v>
      </c>
      <c r="AZ8" s="1">
        <f t="shared" si="4"/>
        <v>0</v>
      </c>
      <c r="BA8" s="1">
        <f t="shared" si="4"/>
        <v>0</v>
      </c>
      <c r="BB8" s="1">
        <f t="shared" si="4"/>
        <v>0</v>
      </c>
      <c r="BC8" s="1">
        <f t="shared" si="4"/>
        <v>0</v>
      </c>
      <c r="BD8" s="1">
        <f t="shared" si="4"/>
        <v>0</v>
      </c>
      <c r="BE8" s="1">
        <f t="shared" si="4"/>
        <v>0</v>
      </c>
      <c r="BF8" s="1">
        <f t="shared" si="4"/>
        <v>0</v>
      </c>
      <c r="BG8" s="1">
        <f t="shared" si="4"/>
        <v>0</v>
      </c>
    </row>
    <row r="9" spans="2:59" s="16" customFormat="1" outlineLevel="1" x14ac:dyDescent="0.2">
      <c r="B9" s="19" t="s">
        <v>43</v>
      </c>
      <c r="C9" s="19" t="s">
        <v>1</v>
      </c>
      <c r="D9" s="19" t="s">
        <v>26</v>
      </c>
      <c r="E9" s="15">
        <v>16</v>
      </c>
      <c r="F9" s="16">
        <v>756</v>
      </c>
      <c r="G9" s="16">
        <v>3054</v>
      </c>
      <c r="H9" s="17" t="s">
        <v>27</v>
      </c>
      <c r="I9" s="17" t="s">
        <v>14</v>
      </c>
      <c r="J9" s="20">
        <f t="shared" si="2"/>
        <v>816666.70000000007</v>
      </c>
      <c r="K9" s="18">
        <v>0</v>
      </c>
      <c r="L9" s="18">
        <v>0</v>
      </c>
      <c r="M9" s="18">
        <v>0</v>
      </c>
      <c r="N9" s="18">
        <v>116666.66</v>
      </c>
      <c r="O9" s="18">
        <v>0</v>
      </c>
      <c r="P9" s="18">
        <v>116666.66</v>
      </c>
      <c r="Q9" s="18">
        <v>0</v>
      </c>
      <c r="R9" s="18">
        <v>116666.66</v>
      </c>
      <c r="S9" s="18">
        <v>0</v>
      </c>
      <c r="T9" s="18">
        <v>116666.66</v>
      </c>
      <c r="U9" s="18">
        <v>0</v>
      </c>
      <c r="V9" s="18">
        <v>116666.66</v>
      </c>
      <c r="W9" s="18">
        <v>0</v>
      </c>
      <c r="X9" s="18">
        <v>116666.66</v>
      </c>
      <c r="Y9" s="18">
        <v>0</v>
      </c>
      <c r="Z9" s="18">
        <v>116666.74</v>
      </c>
      <c r="AA9" s="18">
        <v>0</v>
      </c>
      <c r="AB9" s="18">
        <v>0</v>
      </c>
      <c r="AC9" s="18">
        <v>0</v>
      </c>
      <c r="AD9" s="18">
        <v>0</v>
      </c>
      <c r="AE9" s="18">
        <v>0</v>
      </c>
      <c r="AF9" s="18">
        <v>0</v>
      </c>
      <c r="AG9" s="18">
        <v>0</v>
      </c>
      <c r="AH9" s="18">
        <v>0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  <c r="AT9" s="18">
        <v>0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0</v>
      </c>
      <c r="BF9" s="18">
        <v>0</v>
      </c>
      <c r="BG9" s="18">
        <v>0</v>
      </c>
    </row>
    <row r="10" spans="2:59" s="16" customFormat="1" outlineLevel="1" x14ac:dyDescent="0.2">
      <c r="B10" s="19" t="s">
        <v>43</v>
      </c>
      <c r="C10" s="25" t="s">
        <v>2</v>
      </c>
      <c r="D10" s="19" t="s">
        <v>28</v>
      </c>
      <c r="E10" s="15">
        <v>10</v>
      </c>
      <c r="F10" s="16">
        <v>33</v>
      </c>
      <c r="G10" s="16">
        <v>82</v>
      </c>
      <c r="H10" s="17" t="s">
        <v>29</v>
      </c>
      <c r="I10" s="17" t="s">
        <v>15</v>
      </c>
      <c r="J10" s="20">
        <f t="shared" si="2"/>
        <v>1268811.9199999995</v>
      </c>
      <c r="K10" s="18">
        <v>0</v>
      </c>
      <c r="L10" s="18">
        <v>0</v>
      </c>
      <c r="M10" s="18">
        <v>351670.07</v>
      </c>
      <c r="N10" s="18">
        <v>351670.07</v>
      </c>
      <c r="O10" s="18">
        <v>351670.07</v>
      </c>
      <c r="P10" s="18">
        <v>39759.760000000002</v>
      </c>
      <c r="Q10" s="18">
        <v>39784.26</v>
      </c>
      <c r="R10" s="18">
        <v>37458.17</v>
      </c>
      <c r="S10" s="18">
        <v>23287.34</v>
      </c>
      <c r="T10" s="18">
        <v>21678.07</v>
      </c>
      <c r="U10" s="18">
        <v>7524.68</v>
      </c>
      <c r="V10" s="18">
        <v>7524.68</v>
      </c>
      <c r="W10" s="18">
        <v>7524.68</v>
      </c>
      <c r="X10" s="18">
        <v>7524.68</v>
      </c>
      <c r="Y10" s="18">
        <v>4841.8999999999996</v>
      </c>
      <c r="Z10" s="18">
        <v>4841.8999999999996</v>
      </c>
      <c r="AA10" s="18">
        <v>4841.8999999999996</v>
      </c>
      <c r="AB10" s="18">
        <v>4841.8999999999996</v>
      </c>
      <c r="AC10" s="18">
        <v>2367.79</v>
      </c>
      <c r="AD10" s="18">
        <v>0</v>
      </c>
      <c r="AE10" s="18">
        <v>0</v>
      </c>
      <c r="AF10" s="18">
        <v>0</v>
      </c>
      <c r="AG10" s="18">
        <v>0</v>
      </c>
      <c r="AH10" s="18">
        <v>0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  <c r="AQ10" s="18">
        <v>0</v>
      </c>
      <c r="AR10" s="18">
        <v>0</v>
      </c>
      <c r="AS10" s="18">
        <v>0</v>
      </c>
      <c r="AT10" s="18">
        <v>0</v>
      </c>
      <c r="AU10" s="18">
        <v>0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0</v>
      </c>
      <c r="BF10" s="18">
        <v>0</v>
      </c>
      <c r="BG10" s="18">
        <v>0</v>
      </c>
    </row>
    <row r="11" spans="2:59" s="16" customFormat="1" outlineLevel="1" x14ac:dyDescent="0.2">
      <c r="B11" s="19" t="s">
        <v>43</v>
      </c>
      <c r="C11" s="25" t="s">
        <v>62</v>
      </c>
      <c r="D11" s="19" t="s">
        <v>8</v>
      </c>
      <c r="E11" s="15">
        <v>10</v>
      </c>
      <c r="F11" s="16">
        <v>1</v>
      </c>
      <c r="G11" s="16">
        <v>221</v>
      </c>
      <c r="H11" s="17" t="s">
        <v>30</v>
      </c>
      <c r="I11" s="17" t="s">
        <v>16</v>
      </c>
      <c r="J11" s="20">
        <f t="shared" si="2"/>
        <v>23801.399999999998</v>
      </c>
      <c r="K11" s="18">
        <v>0</v>
      </c>
      <c r="L11" s="18">
        <v>0</v>
      </c>
      <c r="M11" s="18">
        <v>1190.07</v>
      </c>
      <c r="N11" s="18">
        <v>1190.07</v>
      </c>
      <c r="O11" s="18">
        <v>1190.07</v>
      </c>
      <c r="P11" s="18">
        <v>1190.07</v>
      </c>
      <c r="Q11" s="18">
        <v>1190.07</v>
      </c>
      <c r="R11" s="18">
        <v>1190.07</v>
      </c>
      <c r="S11" s="18">
        <v>1190.07</v>
      </c>
      <c r="T11" s="18">
        <v>1190.07</v>
      </c>
      <c r="U11" s="18">
        <v>1190.07</v>
      </c>
      <c r="V11" s="18">
        <v>1190.07</v>
      </c>
      <c r="W11" s="18">
        <v>1190.07</v>
      </c>
      <c r="X11" s="18">
        <v>1190.07</v>
      </c>
      <c r="Y11" s="18">
        <v>1190.07</v>
      </c>
      <c r="Z11" s="18">
        <v>1190.07</v>
      </c>
      <c r="AA11" s="18">
        <v>1190.07</v>
      </c>
      <c r="AB11" s="18">
        <v>1190.07</v>
      </c>
      <c r="AC11" s="18">
        <v>1190.07</v>
      </c>
      <c r="AD11" s="18">
        <v>1190.07</v>
      </c>
      <c r="AE11" s="18">
        <v>1190.07</v>
      </c>
      <c r="AF11" s="18">
        <v>1190.07</v>
      </c>
      <c r="AG11" s="18">
        <v>0</v>
      </c>
      <c r="AH11" s="18">
        <v>0</v>
      </c>
      <c r="AI11" s="18">
        <v>0</v>
      </c>
      <c r="AJ11" s="18">
        <v>0</v>
      </c>
      <c r="AK11" s="18">
        <v>0</v>
      </c>
      <c r="AL11" s="18">
        <v>0</v>
      </c>
      <c r="AM11" s="18">
        <v>0</v>
      </c>
      <c r="AN11" s="18">
        <v>0</v>
      </c>
      <c r="AO11" s="18">
        <v>0</v>
      </c>
      <c r="AP11" s="18">
        <v>0</v>
      </c>
      <c r="AQ11" s="18">
        <v>0</v>
      </c>
      <c r="AR11" s="18">
        <v>0</v>
      </c>
      <c r="AS11" s="18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</row>
    <row r="12" spans="2:59" s="16" customFormat="1" outlineLevel="1" x14ac:dyDescent="0.2">
      <c r="B12" s="19" t="s">
        <v>43</v>
      </c>
      <c r="C12" s="25" t="s">
        <v>62</v>
      </c>
      <c r="D12" s="19" t="s">
        <v>9</v>
      </c>
      <c r="E12" s="15">
        <v>10</v>
      </c>
      <c r="F12" s="16">
        <v>756</v>
      </c>
      <c r="G12" s="16">
        <v>4033</v>
      </c>
      <c r="H12" s="17" t="s">
        <v>31</v>
      </c>
      <c r="I12" s="17" t="s">
        <v>17</v>
      </c>
      <c r="J12" s="20">
        <f t="shared" si="2"/>
        <v>447521.40000000008</v>
      </c>
      <c r="K12" s="18">
        <v>0</v>
      </c>
      <c r="L12" s="18">
        <v>0</v>
      </c>
      <c r="M12" s="18">
        <v>22376.07</v>
      </c>
      <c r="N12" s="18">
        <v>22376.07</v>
      </c>
      <c r="O12" s="18">
        <v>22376.07</v>
      </c>
      <c r="P12" s="18">
        <v>22376.07</v>
      </c>
      <c r="Q12" s="18">
        <v>22376.07</v>
      </c>
      <c r="R12" s="18">
        <v>22376.07</v>
      </c>
      <c r="S12" s="18">
        <v>22376.07</v>
      </c>
      <c r="T12" s="18">
        <v>22376.07</v>
      </c>
      <c r="U12" s="18">
        <v>22376.07</v>
      </c>
      <c r="V12" s="18">
        <v>22376.07</v>
      </c>
      <c r="W12" s="18">
        <v>22376.07</v>
      </c>
      <c r="X12" s="18">
        <v>22376.07</v>
      </c>
      <c r="Y12" s="18">
        <v>22376.07</v>
      </c>
      <c r="Z12" s="18">
        <v>22376.07</v>
      </c>
      <c r="AA12" s="18">
        <v>22376.07</v>
      </c>
      <c r="AB12" s="18">
        <v>22376.07</v>
      </c>
      <c r="AC12" s="18">
        <v>22376.07</v>
      </c>
      <c r="AD12" s="18">
        <v>22376.07</v>
      </c>
      <c r="AE12" s="18">
        <v>22376.07</v>
      </c>
      <c r="AF12" s="18">
        <v>22376.07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8">
        <v>0</v>
      </c>
      <c r="AS12" s="18">
        <v>0</v>
      </c>
      <c r="AT12" s="18">
        <v>0</v>
      </c>
      <c r="AU12" s="18">
        <v>0</v>
      </c>
      <c r="AV12" s="18">
        <v>0</v>
      </c>
      <c r="AW12" s="18">
        <v>0</v>
      </c>
      <c r="AX12" s="18">
        <v>0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</row>
    <row r="13" spans="2:59" s="16" customFormat="1" outlineLevel="1" x14ac:dyDescent="0.2">
      <c r="B13" s="19" t="s">
        <v>43</v>
      </c>
      <c r="C13" s="25" t="s">
        <v>62</v>
      </c>
      <c r="D13" s="19" t="s">
        <v>10</v>
      </c>
      <c r="E13" s="15">
        <v>10</v>
      </c>
      <c r="F13" s="16">
        <v>748</v>
      </c>
      <c r="G13" s="16">
        <v>3953</v>
      </c>
      <c r="H13" s="17" t="s">
        <v>32</v>
      </c>
      <c r="I13" s="17" t="s">
        <v>18</v>
      </c>
      <c r="J13" s="20">
        <f t="shared" si="2"/>
        <v>214212.8000000001</v>
      </c>
      <c r="K13" s="18">
        <v>0</v>
      </c>
      <c r="L13" s="18">
        <v>0</v>
      </c>
      <c r="M13" s="18">
        <v>10710.64</v>
      </c>
      <c r="N13" s="18">
        <v>10710.64</v>
      </c>
      <c r="O13" s="18">
        <v>10710.64</v>
      </c>
      <c r="P13" s="18">
        <v>10710.64</v>
      </c>
      <c r="Q13" s="18">
        <v>10710.64</v>
      </c>
      <c r="R13" s="18">
        <v>10710.64</v>
      </c>
      <c r="S13" s="18">
        <v>10710.64</v>
      </c>
      <c r="T13" s="18">
        <v>10710.64</v>
      </c>
      <c r="U13" s="18">
        <v>10710.64</v>
      </c>
      <c r="V13" s="18">
        <v>10710.64</v>
      </c>
      <c r="W13" s="18">
        <v>10710.64</v>
      </c>
      <c r="X13" s="18">
        <v>10710.64</v>
      </c>
      <c r="Y13" s="18">
        <v>10710.64</v>
      </c>
      <c r="Z13" s="18">
        <v>10710.64</v>
      </c>
      <c r="AA13" s="18">
        <v>10710.64</v>
      </c>
      <c r="AB13" s="18">
        <v>10710.64</v>
      </c>
      <c r="AC13" s="18">
        <v>10710.64</v>
      </c>
      <c r="AD13" s="18">
        <v>10710.64</v>
      </c>
      <c r="AE13" s="18">
        <v>10710.64</v>
      </c>
      <c r="AF13" s="18">
        <v>10710.64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8">
        <v>0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18">
        <v>0</v>
      </c>
      <c r="BG13" s="18">
        <v>0</v>
      </c>
    </row>
    <row r="14" spans="2:59" s="16" customFormat="1" outlineLevel="1" x14ac:dyDescent="0.2">
      <c r="B14" s="19" t="s">
        <v>43</v>
      </c>
      <c r="C14" s="25" t="s">
        <v>62</v>
      </c>
      <c r="D14" s="19" t="s">
        <v>11</v>
      </c>
      <c r="E14" s="15">
        <v>10</v>
      </c>
      <c r="F14" s="16">
        <v>237</v>
      </c>
      <c r="G14" s="16">
        <v>987</v>
      </c>
      <c r="H14" s="17" t="s">
        <v>33</v>
      </c>
      <c r="I14" s="17" t="s">
        <v>19</v>
      </c>
      <c r="J14" s="20">
        <f t="shared" si="2"/>
        <v>472976.80000000022</v>
      </c>
      <c r="K14" s="18">
        <v>0</v>
      </c>
      <c r="L14" s="18">
        <v>0</v>
      </c>
      <c r="M14" s="18">
        <v>23648.84</v>
      </c>
      <c r="N14" s="18">
        <v>23648.84</v>
      </c>
      <c r="O14" s="18">
        <v>23648.84</v>
      </c>
      <c r="P14" s="18">
        <v>23648.84</v>
      </c>
      <c r="Q14" s="18">
        <v>23648.84</v>
      </c>
      <c r="R14" s="18">
        <v>23648.84</v>
      </c>
      <c r="S14" s="18">
        <v>23648.84</v>
      </c>
      <c r="T14" s="18">
        <v>23648.84</v>
      </c>
      <c r="U14" s="18">
        <v>23648.84</v>
      </c>
      <c r="V14" s="18">
        <v>23648.84</v>
      </c>
      <c r="W14" s="18">
        <v>23648.84</v>
      </c>
      <c r="X14" s="18">
        <v>23648.84</v>
      </c>
      <c r="Y14" s="18">
        <v>23648.84</v>
      </c>
      <c r="Z14" s="18">
        <v>23648.84</v>
      </c>
      <c r="AA14" s="18">
        <v>23648.84</v>
      </c>
      <c r="AB14" s="18">
        <v>23648.84</v>
      </c>
      <c r="AC14" s="18">
        <v>23648.84</v>
      </c>
      <c r="AD14" s="18">
        <v>23648.84</v>
      </c>
      <c r="AE14" s="18">
        <v>23648.84</v>
      </c>
      <c r="AF14" s="18">
        <v>23648.84</v>
      </c>
      <c r="AG14" s="18">
        <v>0</v>
      </c>
      <c r="AH14" s="18">
        <v>0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8">
        <v>0</v>
      </c>
      <c r="AS14" s="18">
        <v>0</v>
      </c>
      <c r="AT14" s="18">
        <v>0</v>
      </c>
      <c r="AU14" s="18">
        <v>0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0</v>
      </c>
      <c r="BF14" s="18">
        <v>0</v>
      </c>
      <c r="BG14" s="18">
        <v>0</v>
      </c>
    </row>
    <row r="15" spans="2:59" s="16" customFormat="1" outlineLevel="1" x14ac:dyDescent="0.2">
      <c r="B15" s="19" t="s">
        <v>43</v>
      </c>
      <c r="C15" s="25" t="s">
        <v>62</v>
      </c>
      <c r="D15" s="19" t="s">
        <v>12</v>
      </c>
      <c r="E15" s="15">
        <v>10</v>
      </c>
      <c r="F15" s="16">
        <v>756</v>
      </c>
      <c r="G15" s="16">
        <v>3179</v>
      </c>
      <c r="H15" s="17" t="s">
        <v>34</v>
      </c>
      <c r="I15" s="17" t="s">
        <v>20</v>
      </c>
      <c r="J15" s="20">
        <f t="shared" si="2"/>
        <v>447521.40000000008</v>
      </c>
      <c r="K15" s="18">
        <v>0</v>
      </c>
      <c r="L15" s="18">
        <v>0</v>
      </c>
      <c r="M15" s="18">
        <v>22376.07</v>
      </c>
      <c r="N15" s="18">
        <v>22376.07</v>
      </c>
      <c r="O15" s="18">
        <v>22376.07</v>
      </c>
      <c r="P15" s="18">
        <v>22376.07</v>
      </c>
      <c r="Q15" s="18">
        <v>22376.07</v>
      </c>
      <c r="R15" s="18">
        <v>22376.07</v>
      </c>
      <c r="S15" s="18">
        <v>22376.07</v>
      </c>
      <c r="T15" s="18">
        <v>22376.07</v>
      </c>
      <c r="U15" s="18">
        <v>22376.07</v>
      </c>
      <c r="V15" s="18">
        <v>22376.07</v>
      </c>
      <c r="W15" s="18">
        <v>22376.07</v>
      </c>
      <c r="X15" s="18">
        <v>22376.07</v>
      </c>
      <c r="Y15" s="18">
        <v>22376.07</v>
      </c>
      <c r="Z15" s="18">
        <v>22376.07</v>
      </c>
      <c r="AA15" s="18">
        <v>22376.07</v>
      </c>
      <c r="AB15" s="18">
        <v>22376.07</v>
      </c>
      <c r="AC15" s="18">
        <v>22376.07</v>
      </c>
      <c r="AD15" s="18">
        <v>22376.07</v>
      </c>
      <c r="AE15" s="18">
        <v>22376.07</v>
      </c>
      <c r="AF15" s="18">
        <v>22376.07</v>
      </c>
      <c r="AG15" s="18">
        <v>0</v>
      </c>
      <c r="AH15" s="18">
        <v>0</v>
      </c>
      <c r="AI15" s="18">
        <v>0</v>
      </c>
      <c r="AJ15" s="18">
        <v>0</v>
      </c>
      <c r="AK15" s="18">
        <v>0</v>
      </c>
      <c r="AL15" s="18">
        <v>0</v>
      </c>
      <c r="AM15" s="18">
        <v>0</v>
      </c>
      <c r="AN15" s="18">
        <v>0</v>
      </c>
      <c r="AO15" s="18">
        <v>0</v>
      </c>
      <c r="AP15" s="18">
        <v>0</v>
      </c>
      <c r="AQ15" s="18">
        <v>0</v>
      </c>
      <c r="AR15" s="18">
        <v>0</v>
      </c>
      <c r="AS15" s="18">
        <v>0</v>
      </c>
      <c r="AT15" s="18">
        <v>0</v>
      </c>
      <c r="AU15" s="18">
        <v>0</v>
      </c>
      <c r="AV15" s="18">
        <v>0</v>
      </c>
      <c r="AW15" s="18">
        <v>0</v>
      </c>
      <c r="AX15" s="18">
        <v>0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18">
        <v>0</v>
      </c>
      <c r="BG15" s="18">
        <v>0</v>
      </c>
    </row>
    <row r="16" spans="2:59" s="16" customFormat="1" outlineLevel="1" x14ac:dyDescent="0.2">
      <c r="B16" s="19" t="s">
        <v>43</v>
      </c>
      <c r="C16" s="19" t="s">
        <v>3</v>
      </c>
      <c r="D16" s="19" t="s">
        <v>3</v>
      </c>
      <c r="E16" s="15">
        <v>6</v>
      </c>
      <c r="F16" s="16">
        <v>748</v>
      </c>
      <c r="G16" s="16">
        <v>3953</v>
      </c>
      <c r="H16" s="17" t="s">
        <v>35</v>
      </c>
      <c r="I16" s="17" t="s">
        <v>21</v>
      </c>
      <c r="J16" s="20">
        <f t="shared" si="2"/>
        <v>1965903.1999999997</v>
      </c>
      <c r="K16" s="18">
        <v>0</v>
      </c>
      <c r="L16" s="18">
        <v>0</v>
      </c>
      <c r="M16" s="18">
        <v>245737.9</v>
      </c>
      <c r="N16" s="18">
        <v>245737.9</v>
      </c>
      <c r="O16" s="18">
        <v>245737.9</v>
      </c>
      <c r="P16" s="18">
        <v>245737.9</v>
      </c>
      <c r="Q16" s="18">
        <v>245737.9</v>
      </c>
      <c r="R16" s="18">
        <v>245737.9</v>
      </c>
      <c r="S16" s="18">
        <v>245737.9</v>
      </c>
      <c r="T16" s="18">
        <v>245737.9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D16" s="18">
        <v>0</v>
      </c>
      <c r="AE16" s="18">
        <v>0</v>
      </c>
      <c r="AF16" s="18">
        <v>0</v>
      </c>
      <c r="AG16" s="18">
        <v>0</v>
      </c>
      <c r="AH16" s="18">
        <v>0</v>
      </c>
      <c r="AI16" s="18">
        <v>0</v>
      </c>
      <c r="AJ16" s="18">
        <v>0</v>
      </c>
      <c r="AK16" s="18">
        <v>0</v>
      </c>
      <c r="AL16" s="18">
        <v>0</v>
      </c>
      <c r="AM16" s="18">
        <v>0</v>
      </c>
      <c r="AN16" s="18">
        <v>0</v>
      </c>
      <c r="AO16" s="18">
        <v>0</v>
      </c>
      <c r="AP16" s="18">
        <v>0</v>
      </c>
      <c r="AQ16" s="18">
        <v>0</v>
      </c>
      <c r="AR16" s="18">
        <v>0</v>
      </c>
      <c r="AS16" s="18">
        <v>0</v>
      </c>
      <c r="AT16" s="18">
        <v>0</v>
      </c>
      <c r="AU16" s="18">
        <v>0</v>
      </c>
      <c r="AV16" s="18">
        <v>0</v>
      </c>
      <c r="AW16" s="18">
        <v>0</v>
      </c>
      <c r="AX16" s="18">
        <v>0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0</v>
      </c>
      <c r="BF16" s="18">
        <v>0</v>
      </c>
      <c r="BG16" s="18">
        <v>0</v>
      </c>
    </row>
    <row r="17" spans="2:60" s="16" customFormat="1" outlineLevel="1" x14ac:dyDescent="0.2">
      <c r="B17" s="19" t="s">
        <v>43</v>
      </c>
      <c r="C17" s="19" t="s">
        <v>3</v>
      </c>
      <c r="D17" s="19" t="s">
        <v>3</v>
      </c>
      <c r="E17" s="15">
        <v>6</v>
      </c>
      <c r="F17" s="16">
        <v>1</v>
      </c>
      <c r="G17" s="16">
        <v>4275</v>
      </c>
      <c r="H17" s="17" t="s">
        <v>36</v>
      </c>
      <c r="I17" s="17" t="s">
        <v>21</v>
      </c>
      <c r="J17" s="20">
        <f t="shared" si="2"/>
        <v>496608.35000000003</v>
      </c>
      <c r="K17" s="18">
        <v>0</v>
      </c>
      <c r="L17" s="18">
        <v>0</v>
      </c>
      <c r="M17" s="18">
        <v>36658.33</v>
      </c>
      <c r="N17" s="18">
        <v>0</v>
      </c>
      <c r="O17" s="18">
        <v>36658.33</v>
      </c>
      <c r="P17" s="18">
        <v>0</v>
      </c>
      <c r="Q17" s="18">
        <v>36658.33</v>
      </c>
      <c r="R17" s="18">
        <v>0</v>
      </c>
      <c r="S17" s="18">
        <v>36658.33</v>
      </c>
      <c r="T17" s="18">
        <v>0</v>
      </c>
      <c r="U17" s="18">
        <v>116658.33</v>
      </c>
      <c r="V17" s="18">
        <v>0</v>
      </c>
      <c r="W17" s="18">
        <v>116658.33</v>
      </c>
      <c r="X17" s="18">
        <v>0</v>
      </c>
      <c r="Y17" s="18">
        <v>116658.37</v>
      </c>
      <c r="Z17" s="18">
        <v>0</v>
      </c>
      <c r="AA17" s="18">
        <v>0</v>
      </c>
      <c r="AB17" s="18">
        <v>0</v>
      </c>
      <c r="AC17" s="18">
        <v>0</v>
      </c>
      <c r="AD17" s="18">
        <v>0</v>
      </c>
      <c r="AE17" s="18">
        <v>0</v>
      </c>
      <c r="AF17" s="18">
        <v>0</v>
      </c>
      <c r="AG17" s="18">
        <v>0</v>
      </c>
      <c r="AH17" s="18">
        <v>0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8">
        <v>0</v>
      </c>
      <c r="BF17" s="18">
        <v>0</v>
      </c>
      <c r="BG17" s="18">
        <v>0</v>
      </c>
    </row>
    <row r="18" spans="2:60" s="16" customFormat="1" outlineLevel="1" x14ac:dyDescent="0.2">
      <c r="B18" s="19" t="s">
        <v>43</v>
      </c>
      <c r="C18" s="19" t="s">
        <v>4</v>
      </c>
      <c r="D18" s="19" t="s">
        <v>13</v>
      </c>
      <c r="E18" s="15">
        <v>6</v>
      </c>
      <c r="F18" s="16">
        <v>748</v>
      </c>
      <c r="G18" s="16">
        <v>3953</v>
      </c>
      <c r="H18" s="17" t="s">
        <v>37</v>
      </c>
      <c r="I18" s="17" t="s">
        <v>22</v>
      </c>
      <c r="J18" s="20">
        <f t="shared" si="2"/>
        <v>461176.79999999993</v>
      </c>
      <c r="K18" s="18">
        <v>0</v>
      </c>
      <c r="L18" s="18">
        <v>0</v>
      </c>
      <c r="M18" s="18">
        <v>57647.1</v>
      </c>
      <c r="N18" s="18">
        <v>57647.1</v>
      </c>
      <c r="O18" s="18">
        <v>57647.1</v>
      </c>
      <c r="P18" s="18">
        <v>57647.1</v>
      </c>
      <c r="Q18" s="18">
        <v>57647.1</v>
      </c>
      <c r="R18" s="18">
        <v>57647.1</v>
      </c>
      <c r="S18" s="18">
        <v>57647.1</v>
      </c>
      <c r="T18" s="18">
        <v>57647.1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D18" s="18">
        <v>0</v>
      </c>
      <c r="AE18" s="18">
        <v>0</v>
      </c>
      <c r="AF18" s="18">
        <v>0</v>
      </c>
      <c r="AG18" s="18">
        <v>0</v>
      </c>
      <c r="AH18" s="18">
        <v>0</v>
      </c>
      <c r="AI18" s="18">
        <v>0</v>
      </c>
      <c r="AJ18" s="18">
        <v>0</v>
      </c>
      <c r="AK18" s="18">
        <v>0</v>
      </c>
      <c r="AL18" s="18">
        <v>0</v>
      </c>
      <c r="AM18" s="18">
        <v>0</v>
      </c>
      <c r="AN18" s="18">
        <v>0</v>
      </c>
      <c r="AO18" s="18">
        <v>0</v>
      </c>
      <c r="AP18" s="18">
        <v>0</v>
      </c>
      <c r="AQ18" s="18">
        <v>0</v>
      </c>
      <c r="AR18" s="18">
        <v>0</v>
      </c>
      <c r="AS18" s="18">
        <v>0</v>
      </c>
      <c r="AT18" s="18">
        <v>0</v>
      </c>
      <c r="AU18" s="18">
        <v>0</v>
      </c>
      <c r="AV18" s="18">
        <v>0</v>
      </c>
      <c r="AW18" s="18">
        <v>0</v>
      </c>
      <c r="AX18" s="18">
        <v>0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0</v>
      </c>
      <c r="BF18" s="18">
        <v>0</v>
      </c>
      <c r="BG18" s="18">
        <v>0</v>
      </c>
    </row>
    <row r="19" spans="2:60" ht="16" thickBot="1" x14ac:dyDescent="0.25">
      <c r="B19" s="3" t="s">
        <v>0</v>
      </c>
      <c r="C19" s="3"/>
      <c r="D19" s="3"/>
      <c r="E19" s="13"/>
      <c r="F19" s="3"/>
      <c r="G19" s="3"/>
      <c r="H19" s="3"/>
      <c r="I19" s="3"/>
      <c r="J19" s="7">
        <f t="shared" si="2"/>
        <v>77495078.956980914</v>
      </c>
      <c r="K19" s="24">
        <f>SUM(K8,K7,K4)</f>
        <v>15924927.176094271</v>
      </c>
      <c r="L19" s="24">
        <f t="shared" ref="L19:BG19" si="5">SUM(L8,L7,L4)</f>
        <v>0</v>
      </c>
      <c r="M19" s="24">
        <f t="shared" si="5"/>
        <v>772015.09</v>
      </c>
      <c r="N19" s="24">
        <f t="shared" si="5"/>
        <v>852023.41999999993</v>
      </c>
      <c r="O19" s="24">
        <f t="shared" si="5"/>
        <v>772015.09</v>
      </c>
      <c r="P19" s="24">
        <f t="shared" si="5"/>
        <v>540113.11</v>
      </c>
      <c r="Q19" s="24">
        <f t="shared" si="5"/>
        <v>460129.27999999997</v>
      </c>
      <c r="R19" s="24">
        <f t="shared" si="5"/>
        <v>537811.52</v>
      </c>
      <c r="S19" s="24">
        <f t="shared" si="5"/>
        <v>443632.36</v>
      </c>
      <c r="T19" s="24">
        <f t="shared" si="5"/>
        <v>522031.42</v>
      </c>
      <c r="U19" s="24">
        <f t="shared" si="5"/>
        <v>204484.7</v>
      </c>
      <c r="V19" s="24">
        <f t="shared" si="5"/>
        <v>204493.03</v>
      </c>
      <c r="W19" s="24">
        <f t="shared" si="5"/>
        <v>204484.7</v>
      </c>
      <c r="X19" s="24">
        <f t="shared" si="5"/>
        <v>204493.03</v>
      </c>
      <c r="Y19" s="24">
        <f t="shared" si="5"/>
        <v>201801.96</v>
      </c>
      <c r="Z19" s="24">
        <f t="shared" si="5"/>
        <v>201810.33</v>
      </c>
      <c r="AA19" s="24">
        <f t="shared" si="5"/>
        <v>85143.59</v>
      </c>
      <c r="AB19" s="24">
        <f t="shared" si="5"/>
        <v>85143.59</v>
      </c>
      <c r="AC19" s="24">
        <f t="shared" si="5"/>
        <v>82669.48000000001</v>
      </c>
      <c r="AD19" s="24">
        <f t="shared" si="5"/>
        <v>80301.69</v>
      </c>
      <c r="AE19" s="24">
        <f t="shared" si="5"/>
        <v>80301.69</v>
      </c>
      <c r="AF19" s="24">
        <f t="shared" si="5"/>
        <v>80301.69</v>
      </c>
      <c r="AG19" s="24">
        <f t="shared" si="5"/>
        <v>0</v>
      </c>
      <c r="AH19" s="24">
        <f t="shared" si="5"/>
        <v>0</v>
      </c>
      <c r="AI19" s="24">
        <f t="shared" si="5"/>
        <v>5364951.0108866403</v>
      </c>
      <c r="AJ19" s="24">
        <f t="shared" si="5"/>
        <v>0</v>
      </c>
      <c r="AK19" s="24">
        <f t="shared" si="5"/>
        <v>0</v>
      </c>
      <c r="AL19" s="24">
        <f t="shared" si="5"/>
        <v>0</v>
      </c>
      <c r="AM19" s="24">
        <f t="shared" si="5"/>
        <v>0</v>
      </c>
      <c r="AN19" s="24">
        <f t="shared" si="5"/>
        <v>0</v>
      </c>
      <c r="AO19" s="24">
        <f t="shared" si="5"/>
        <v>0</v>
      </c>
      <c r="AP19" s="24">
        <f t="shared" si="5"/>
        <v>0</v>
      </c>
      <c r="AQ19" s="24">
        <f t="shared" si="5"/>
        <v>0</v>
      </c>
      <c r="AR19" s="24">
        <f t="shared" si="5"/>
        <v>0</v>
      </c>
      <c r="AS19" s="24">
        <f t="shared" si="5"/>
        <v>0</v>
      </c>
      <c r="AT19" s="24">
        <f t="shared" si="5"/>
        <v>0</v>
      </c>
      <c r="AU19" s="24">
        <f t="shared" si="5"/>
        <v>24795000</v>
      </c>
      <c r="AV19" s="24">
        <f t="shared" si="5"/>
        <v>0</v>
      </c>
      <c r="AW19" s="24">
        <f t="shared" si="5"/>
        <v>0</v>
      </c>
      <c r="AX19" s="24">
        <f t="shared" si="5"/>
        <v>0</v>
      </c>
      <c r="AY19" s="24">
        <f t="shared" si="5"/>
        <v>0</v>
      </c>
      <c r="AZ19" s="24">
        <f t="shared" si="5"/>
        <v>0</v>
      </c>
      <c r="BA19" s="24">
        <f t="shared" si="5"/>
        <v>0</v>
      </c>
      <c r="BB19" s="24">
        <f t="shared" si="5"/>
        <v>0</v>
      </c>
      <c r="BC19" s="24">
        <f t="shared" si="5"/>
        <v>0</v>
      </c>
      <c r="BD19" s="24">
        <f t="shared" si="5"/>
        <v>0</v>
      </c>
      <c r="BE19" s="24">
        <f t="shared" si="5"/>
        <v>0</v>
      </c>
      <c r="BF19" s="24">
        <f t="shared" si="5"/>
        <v>0</v>
      </c>
      <c r="BG19" s="24">
        <f t="shared" si="5"/>
        <v>24795000</v>
      </c>
    </row>
    <row r="20" spans="2:60" ht="16" thickTop="1" x14ac:dyDescent="0.2">
      <c r="E20" s="1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</row>
    <row r="21" spans="2:60" x14ac:dyDescent="0.2">
      <c r="B21" t="s">
        <v>43</v>
      </c>
      <c r="C21" t="s">
        <v>61</v>
      </c>
      <c r="D21" s="21" t="s">
        <v>46</v>
      </c>
      <c r="E21" s="12" t="s">
        <v>59</v>
      </c>
      <c r="F21" s="11" t="s">
        <v>46</v>
      </c>
      <c r="G21" s="11" t="s">
        <v>46</v>
      </c>
      <c r="H21" s="11" t="s">
        <v>46</v>
      </c>
      <c r="I21" s="11" t="s">
        <v>46</v>
      </c>
      <c r="J21" s="2">
        <f>SUM(K21:BG21)</f>
        <v>28762280.73</v>
      </c>
      <c r="K21" s="1">
        <f t="shared" ref="K21:AP21" si="6">SUM(K22:K22)</f>
        <v>28762280.73</v>
      </c>
      <c r="L21" s="1">
        <f t="shared" si="6"/>
        <v>0</v>
      </c>
      <c r="M21" s="1">
        <f t="shared" si="6"/>
        <v>0</v>
      </c>
      <c r="N21" s="1">
        <f t="shared" si="6"/>
        <v>0</v>
      </c>
      <c r="O21" s="1">
        <f t="shared" si="6"/>
        <v>0</v>
      </c>
      <c r="P21" s="1">
        <f t="shared" si="6"/>
        <v>0</v>
      </c>
      <c r="Q21" s="1">
        <f t="shared" si="6"/>
        <v>0</v>
      </c>
      <c r="R21" s="1">
        <f t="shared" si="6"/>
        <v>0</v>
      </c>
      <c r="S21" s="1">
        <f t="shared" si="6"/>
        <v>0</v>
      </c>
      <c r="T21" s="1">
        <f t="shared" si="6"/>
        <v>0</v>
      </c>
      <c r="U21" s="1">
        <f t="shared" si="6"/>
        <v>0</v>
      </c>
      <c r="V21" s="1">
        <f t="shared" si="6"/>
        <v>0</v>
      </c>
      <c r="W21" s="1">
        <f t="shared" si="6"/>
        <v>0</v>
      </c>
      <c r="X21" s="1">
        <f t="shared" si="6"/>
        <v>0</v>
      </c>
      <c r="Y21" s="1">
        <f t="shared" si="6"/>
        <v>0</v>
      </c>
      <c r="Z21" s="1">
        <f t="shared" si="6"/>
        <v>0</v>
      </c>
      <c r="AA21" s="1">
        <f t="shared" si="6"/>
        <v>0</v>
      </c>
      <c r="AB21" s="1">
        <f t="shared" si="6"/>
        <v>0</v>
      </c>
      <c r="AC21" s="1">
        <f t="shared" si="6"/>
        <v>0</v>
      </c>
      <c r="AD21" s="1">
        <f t="shared" si="6"/>
        <v>0</v>
      </c>
      <c r="AE21" s="1">
        <f t="shared" si="6"/>
        <v>0</v>
      </c>
      <c r="AF21" s="1">
        <f t="shared" si="6"/>
        <v>0</v>
      </c>
      <c r="AG21" s="1">
        <f t="shared" si="6"/>
        <v>0</v>
      </c>
      <c r="AH21" s="1">
        <f t="shared" si="6"/>
        <v>0</v>
      </c>
      <c r="AI21" s="1">
        <f t="shared" si="6"/>
        <v>0</v>
      </c>
      <c r="AJ21" s="1">
        <f t="shared" si="6"/>
        <v>0</v>
      </c>
      <c r="AK21" s="1">
        <f t="shared" si="6"/>
        <v>0</v>
      </c>
      <c r="AL21" s="1">
        <f t="shared" si="6"/>
        <v>0</v>
      </c>
      <c r="AM21" s="1">
        <f t="shared" si="6"/>
        <v>0</v>
      </c>
      <c r="AN21" s="1">
        <f t="shared" si="6"/>
        <v>0</v>
      </c>
      <c r="AO21" s="1">
        <f t="shared" si="6"/>
        <v>0</v>
      </c>
      <c r="AP21" s="1">
        <f t="shared" si="6"/>
        <v>0</v>
      </c>
      <c r="AQ21" s="1">
        <f t="shared" ref="AQ21:BG21" si="7">SUM(AQ22:AQ22)</f>
        <v>0</v>
      </c>
      <c r="AR21" s="1">
        <f t="shared" si="7"/>
        <v>0</v>
      </c>
      <c r="AS21" s="1">
        <f t="shared" si="7"/>
        <v>0</v>
      </c>
      <c r="AT21" s="1">
        <f t="shared" si="7"/>
        <v>0</v>
      </c>
      <c r="AU21" s="1">
        <f t="shared" si="7"/>
        <v>0</v>
      </c>
      <c r="AV21" s="1">
        <f t="shared" si="7"/>
        <v>0</v>
      </c>
      <c r="AW21" s="1">
        <f t="shared" si="7"/>
        <v>0</v>
      </c>
      <c r="AX21" s="1">
        <f t="shared" si="7"/>
        <v>0</v>
      </c>
      <c r="AY21" s="1">
        <f t="shared" si="7"/>
        <v>0</v>
      </c>
      <c r="AZ21" s="1">
        <f t="shared" si="7"/>
        <v>0</v>
      </c>
      <c r="BA21" s="1">
        <f t="shared" si="7"/>
        <v>0</v>
      </c>
      <c r="BB21" s="1">
        <f t="shared" si="7"/>
        <v>0</v>
      </c>
      <c r="BC21" s="1">
        <f t="shared" si="7"/>
        <v>0</v>
      </c>
      <c r="BD21" s="1">
        <f t="shared" si="7"/>
        <v>0</v>
      </c>
      <c r="BE21" s="1">
        <f t="shared" si="7"/>
        <v>0</v>
      </c>
      <c r="BF21" s="1">
        <f t="shared" si="7"/>
        <v>0</v>
      </c>
      <c r="BG21" s="1">
        <f t="shared" si="7"/>
        <v>0</v>
      </c>
    </row>
    <row r="22" spans="2:60" s="16" customFormat="1" outlineLevel="1" x14ac:dyDescent="0.2">
      <c r="B22" s="19" t="s">
        <v>67</v>
      </c>
      <c r="C22" s="19" t="s">
        <v>48</v>
      </c>
      <c r="D22" s="19" t="s">
        <v>57</v>
      </c>
      <c r="E22" s="15" t="s">
        <v>59</v>
      </c>
      <c r="F22" s="16">
        <v>1</v>
      </c>
      <c r="G22" s="17" t="s">
        <v>52</v>
      </c>
      <c r="H22" s="17" t="s">
        <v>54</v>
      </c>
      <c r="I22" s="17" t="s">
        <v>49</v>
      </c>
      <c r="J22" s="20">
        <f t="shared" ref="J22" si="8">SUM(K22:BG22)</f>
        <v>28762280.73</v>
      </c>
      <c r="K22" s="18">
        <v>28762280.73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8">
        <v>0</v>
      </c>
      <c r="AH22" s="18">
        <v>0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>
        <v>0</v>
      </c>
      <c r="BA22" s="18">
        <v>0</v>
      </c>
      <c r="BB22" s="18">
        <v>0</v>
      </c>
      <c r="BC22" s="18">
        <v>0</v>
      </c>
      <c r="BD22" s="18">
        <v>0</v>
      </c>
      <c r="BE22" s="18">
        <v>0</v>
      </c>
      <c r="BF22" s="18">
        <v>0</v>
      </c>
      <c r="BG22" s="18">
        <v>0</v>
      </c>
    </row>
    <row r="23" spans="2:60" ht="16" thickBot="1" x14ac:dyDescent="0.25">
      <c r="B23" s="3" t="s">
        <v>0</v>
      </c>
      <c r="C23" s="3"/>
      <c r="D23" s="3"/>
      <c r="E23" s="13"/>
      <c r="F23" s="3"/>
      <c r="G23" s="3"/>
      <c r="H23" s="3"/>
      <c r="I23" s="3"/>
      <c r="J23" s="7">
        <f>J21</f>
        <v>28762280.73</v>
      </c>
      <c r="K23" s="24">
        <f>K21</f>
        <v>28762280.73</v>
      </c>
      <c r="L23" s="24">
        <f t="shared" ref="L23:BG23" si="9">L21</f>
        <v>0</v>
      </c>
      <c r="M23" s="24">
        <f t="shared" si="9"/>
        <v>0</v>
      </c>
      <c r="N23" s="24">
        <f t="shared" si="9"/>
        <v>0</v>
      </c>
      <c r="O23" s="24">
        <f t="shared" si="9"/>
        <v>0</v>
      </c>
      <c r="P23" s="24">
        <f t="shared" si="9"/>
        <v>0</v>
      </c>
      <c r="Q23" s="24">
        <f t="shared" si="9"/>
        <v>0</v>
      </c>
      <c r="R23" s="24">
        <f t="shared" si="9"/>
        <v>0</v>
      </c>
      <c r="S23" s="24">
        <f t="shared" si="9"/>
        <v>0</v>
      </c>
      <c r="T23" s="24">
        <f t="shared" si="9"/>
        <v>0</v>
      </c>
      <c r="U23" s="24">
        <f t="shared" si="9"/>
        <v>0</v>
      </c>
      <c r="V23" s="24">
        <f t="shared" si="9"/>
        <v>0</v>
      </c>
      <c r="W23" s="24">
        <f t="shared" si="9"/>
        <v>0</v>
      </c>
      <c r="X23" s="24">
        <f t="shared" si="9"/>
        <v>0</v>
      </c>
      <c r="Y23" s="24">
        <f t="shared" si="9"/>
        <v>0</v>
      </c>
      <c r="Z23" s="24">
        <f t="shared" si="9"/>
        <v>0</v>
      </c>
      <c r="AA23" s="24">
        <f t="shared" si="9"/>
        <v>0</v>
      </c>
      <c r="AB23" s="24">
        <f t="shared" si="9"/>
        <v>0</v>
      </c>
      <c r="AC23" s="24">
        <f t="shared" si="9"/>
        <v>0</v>
      </c>
      <c r="AD23" s="24">
        <f t="shared" si="9"/>
        <v>0</v>
      </c>
      <c r="AE23" s="24">
        <f t="shared" si="9"/>
        <v>0</v>
      </c>
      <c r="AF23" s="24">
        <f t="shared" si="9"/>
        <v>0</v>
      </c>
      <c r="AG23" s="24">
        <f t="shared" si="9"/>
        <v>0</v>
      </c>
      <c r="AH23" s="24">
        <f t="shared" si="9"/>
        <v>0</v>
      </c>
      <c r="AI23" s="24">
        <f t="shared" si="9"/>
        <v>0</v>
      </c>
      <c r="AJ23" s="24">
        <f t="shared" si="9"/>
        <v>0</v>
      </c>
      <c r="AK23" s="24">
        <f t="shared" si="9"/>
        <v>0</v>
      </c>
      <c r="AL23" s="24">
        <f t="shared" si="9"/>
        <v>0</v>
      </c>
      <c r="AM23" s="24">
        <f t="shared" si="9"/>
        <v>0</v>
      </c>
      <c r="AN23" s="24">
        <f t="shared" si="9"/>
        <v>0</v>
      </c>
      <c r="AO23" s="24">
        <f t="shared" si="9"/>
        <v>0</v>
      </c>
      <c r="AP23" s="24">
        <f t="shared" si="9"/>
        <v>0</v>
      </c>
      <c r="AQ23" s="24">
        <f t="shared" si="9"/>
        <v>0</v>
      </c>
      <c r="AR23" s="24">
        <f t="shared" si="9"/>
        <v>0</v>
      </c>
      <c r="AS23" s="24">
        <f t="shared" si="9"/>
        <v>0</v>
      </c>
      <c r="AT23" s="24">
        <f t="shared" si="9"/>
        <v>0</v>
      </c>
      <c r="AU23" s="24">
        <f t="shared" si="9"/>
        <v>0</v>
      </c>
      <c r="AV23" s="24">
        <f t="shared" si="9"/>
        <v>0</v>
      </c>
      <c r="AW23" s="24">
        <f t="shared" si="9"/>
        <v>0</v>
      </c>
      <c r="AX23" s="24">
        <f t="shared" si="9"/>
        <v>0</v>
      </c>
      <c r="AY23" s="24">
        <f t="shared" si="9"/>
        <v>0</v>
      </c>
      <c r="AZ23" s="24">
        <f t="shared" si="9"/>
        <v>0</v>
      </c>
      <c r="BA23" s="24">
        <f t="shared" si="9"/>
        <v>0</v>
      </c>
      <c r="BB23" s="24">
        <f t="shared" si="9"/>
        <v>0</v>
      </c>
      <c r="BC23" s="24">
        <f t="shared" si="9"/>
        <v>0</v>
      </c>
      <c r="BD23" s="24">
        <f t="shared" si="9"/>
        <v>0</v>
      </c>
      <c r="BE23" s="24">
        <f t="shared" si="9"/>
        <v>0</v>
      </c>
      <c r="BF23" s="24">
        <f t="shared" si="9"/>
        <v>0</v>
      </c>
      <c r="BG23" s="24">
        <f t="shared" si="9"/>
        <v>0</v>
      </c>
    </row>
    <row r="24" spans="2:60" ht="16" thickTop="1" x14ac:dyDescent="0.2">
      <c r="E24" s="1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</row>
    <row r="25" spans="2:60" x14ac:dyDescent="0.2">
      <c r="B25" t="s">
        <v>63</v>
      </c>
      <c r="C25" t="s">
        <v>63</v>
      </c>
      <c r="D25" s="21" t="s">
        <v>46</v>
      </c>
      <c r="E25" s="12" t="s">
        <v>59</v>
      </c>
      <c r="F25" s="11" t="s">
        <v>46</v>
      </c>
      <c r="G25" s="11" t="s">
        <v>46</v>
      </c>
      <c r="H25" s="11" t="s">
        <v>46</v>
      </c>
      <c r="I25" s="11" t="s">
        <v>46</v>
      </c>
      <c r="J25" s="2">
        <f t="shared" ref="J25:J26" si="10">SUM(K25:BG25)</f>
        <v>59042640.313019089</v>
      </c>
      <c r="K25" s="1">
        <f>SUM(K26:K28)</f>
        <v>21432792.093905725</v>
      </c>
      <c r="L25" s="1">
        <f t="shared" ref="L25:BG25" si="11">SUM(L26:L28)</f>
        <v>0</v>
      </c>
      <c r="M25" s="1">
        <f t="shared" si="11"/>
        <v>0</v>
      </c>
      <c r="N25" s="1">
        <f t="shared" si="11"/>
        <v>4577711.49</v>
      </c>
      <c r="O25" s="1">
        <f t="shared" si="11"/>
        <v>0</v>
      </c>
      <c r="P25" s="1">
        <f t="shared" si="11"/>
        <v>0</v>
      </c>
      <c r="Q25" s="1">
        <f t="shared" si="11"/>
        <v>4426492.5199999996</v>
      </c>
      <c r="R25" s="1">
        <f t="shared" si="11"/>
        <v>0</v>
      </c>
      <c r="S25" s="1">
        <f t="shared" si="11"/>
        <v>0</v>
      </c>
      <c r="T25" s="1">
        <f t="shared" si="11"/>
        <v>4695274.7</v>
      </c>
      <c r="U25" s="1">
        <f t="shared" si="11"/>
        <v>0</v>
      </c>
      <c r="V25" s="1">
        <f t="shared" si="11"/>
        <v>0</v>
      </c>
      <c r="W25" s="1">
        <f t="shared" si="11"/>
        <v>5585287.5699999994</v>
      </c>
      <c r="X25" s="1">
        <f t="shared" si="11"/>
        <v>0</v>
      </c>
      <c r="Y25" s="1">
        <f t="shared" si="11"/>
        <v>0</v>
      </c>
      <c r="Z25" s="1">
        <f t="shared" si="11"/>
        <v>0</v>
      </c>
      <c r="AA25" s="1">
        <f t="shared" si="11"/>
        <v>0</v>
      </c>
      <c r="AB25" s="1">
        <f t="shared" si="11"/>
        <v>0</v>
      </c>
      <c r="AC25" s="1">
        <f t="shared" si="11"/>
        <v>0</v>
      </c>
      <c r="AD25" s="1">
        <f t="shared" si="11"/>
        <v>0</v>
      </c>
      <c r="AE25" s="1">
        <f t="shared" si="11"/>
        <v>0</v>
      </c>
      <c r="AF25" s="1">
        <f t="shared" si="11"/>
        <v>0</v>
      </c>
      <c r="AG25" s="1">
        <f t="shared" si="11"/>
        <v>0</v>
      </c>
      <c r="AH25" s="1">
        <f t="shared" si="11"/>
        <v>0</v>
      </c>
      <c r="AI25" s="1">
        <f t="shared" si="11"/>
        <v>18325081.939113364</v>
      </c>
      <c r="AJ25" s="1">
        <f t="shared" si="11"/>
        <v>0</v>
      </c>
      <c r="AK25" s="1">
        <f t="shared" si="11"/>
        <v>0</v>
      </c>
      <c r="AL25" s="1">
        <f t="shared" si="11"/>
        <v>0</v>
      </c>
      <c r="AM25" s="1">
        <f t="shared" si="11"/>
        <v>0</v>
      </c>
      <c r="AN25" s="1">
        <f t="shared" si="11"/>
        <v>0</v>
      </c>
      <c r="AO25" s="1">
        <f t="shared" si="11"/>
        <v>0</v>
      </c>
      <c r="AP25" s="1">
        <f t="shared" si="11"/>
        <v>0</v>
      </c>
      <c r="AQ25" s="1">
        <f t="shared" si="11"/>
        <v>0</v>
      </c>
      <c r="AR25" s="1">
        <f t="shared" si="11"/>
        <v>0</v>
      </c>
      <c r="AS25" s="1">
        <f t="shared" si="11"/>
        <v>0</v>
      </c>
      <c r="AT25" s="1">
        <f t="shared" si="11"/>
        <v>0</v>
      </c>
      <c r="AU25" s="1">
        <f t="shared" si="11"/>
        <v>0</v>
      </c>
      <c r="AV25" s="1">
        <f t="shared" si="11"/>
        <v>0</v>
      </c>
      <c r="AW25" s="1">
        <f t="shared" si="11"/>
        <v>0</v>
      </c>
      <c r="AX25" s="1">
        <f t="shared" si="11"/>
        <v>0</v>
      </c>
      <c r="AY25" s="1">
        <f t="shared" si="11"/>
        <v>0</v>
      </c>
      <c r="AZ25" s="1">
        <f t="shared" si="11"/>
        <v>0</v>
      </c>
      <c r="BA25" s="1">
        <f t="shared" si="11"/>
        <v>0</v>
      </c>
      <c r="BB25" s="1">
        <f t="shared" si="11"/>
        <v>0</v>
      </c>
      <c r="BC25" s="1">
        <f t="shared" si="11"/>
        <v>0</v>
      </c>
      <c r="BD25" s="1">
        <f t="shared" si="11"/>
        <v>0</v>
      </c>
      <c r="BE25" s="1">
        <f t="shared" si="11"/>
        <v>0</v>
      </c>
      <c r="BF25" s="1">
        <f t="shared" si="11"/>
        <v>0</v>
      </c>
      <c r="BG25" s="1">
        <f t="shared" si="11"/>
        <v>0</v>
      </c>
    </row>
    <row r="26" spans="2:60" s="16" customFormat="1" outlineLevel="1" x14ac:dyDescent="0.2">
      <c r="B26" s="19" t="s">
        <v>68</v>
      </c>
      <c r="C26" s="19" t="s">
        <v>69</v>
      </c>
      <c r="D26" s="19" t="s">
        <v>57</v>
      </c>
      <c r="E26" s="15" t="s">
        <v>59</v>
      </c>
      <c r="F26" s="16">
        <v>1</v>
      </c>
      <c r="G26" s="17" t="s">
        <v>52</v>
      </c>
      <c r="H26" s="17" t="s">
        <v>54</v>
      </c>
      <c r="I26" s="17" t="s">
        <v>49</v>
      </c>
      <c r="J26" s="20">
        <f t="shared" si="10"/>
        <v>11239020</v>
      </c>
      <c r="K26" s="18">
        <v>0</v>
      </c>
      <c r="L26" s="18">
        <v>0</v>
      </c>
      <c r="M26" s="18">
        <v>0</v>
      </c>
      <c r="N26" s="18">
        <v>2809755</v>
      </c>
      <c r="O26" s="18">
        <v>0</v>
      </c>
      <c r="P26" s="18">
        <v>0</v>
      </c>
      <c r="Q26" s="18">
        <v>2809755</v>
      </c>
      <c r="R26" s="18">
        <v>0</v>
      </c>
      <c r="S26" s="18">
        <v>0</v>
      </c>
      <c r="T26" s="18">
        <v>2809755</v>
      </c>
      <c r="U26" s="18">
        <v>0</v>
      </c>
      <c r="V26" s="18">
        <v>0</v>
      </c>
      <c r="W26" s="18">
        <v>2809755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8">
        <v>0</v>
      </c>
      <c r="AT26" s="18">
        <v>0</v>
      </c>
      <c r="AU26" s="18">
        <v>0</v>
      </c>
      <c r="AV26" s="18">
        <v>0</v>
      </c>
      <c r="AW26" s="18">
        <v>0</v>
      </c>
      <c r="AX26" s="18">
        <v>0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</v>
      </c>
      <c r="BF26" s="18">
        <v>0</v>
      </c>
      <c r="BG26" s="18">
        <v>0</v>
      </c>
    </row>
    <row r="27" spans="2:60" s="16" customFormat="1" outlineLevel="1" x14ac:dyDescent="0.2">
      <c r="B27" s="19" t="s">
        <v>68</v>
      </c>
      <c r="C27" s="19" t="s">
        <v>64</v>
      </c>
      <c r="D27" s="19" t="s">
        <v>56</v>
      </c>
      <c r="E27" s="15" t="s">
        <v>59</v>
      </c>
      <c r="F27" s="16">
        <v>1</v>
      </c>
      <c r="G27" s="17" t="s">
        <v>53</v>
      </c>
      <c r="H27" s="17" t="s">
        <v>55</v>
      </c>
      <c r="I27" s="17" t="s">
        <v>50</v>
      </c>
      <c r="J27" s="20">
        <f t="shared" ref="J27:J28" si="12">SUM(K27:BG27)</f>
        <v>44560980.313019089</v>
      </c>
      <c r="K27" s="18">
        <v>21432792.093905725</v>
      </c>
      <c r="L27" s="18">
        <v>0</v>
      </c>
      <c r="M27" s="18">
        <v>0</v>
      </c>
      <c r="N27" s="18">
        <v>957296.49000000022</v>
      </c>
      <c r="O27" s="18">
        <v>0</v>
      </c>
      <c r="P27" s="18">
        <v>0</v>
      </c>
      <c r="Q27" s="18">
        <v>806077.51999999955</v>
      </c>
      <c r="R27" s="18">
        <v>0</v>
      </c>
      <c r="S27" s="18">
        <v>0</v>
      </c>
      <c r="T27" s="18">
        <v>1074859.7000000002</v>
      </c>
      <c r="U27" s="18">
        <v>0</v>
      </c>
      <c r="V27" s="18">
        <v>0</v>
      </c>
      <c r="W27" s="18">
        <v>1964872.5699999994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18">
        <v>0</v>
      </c>
      <c r="AI27" s="18">
        <v>18325081.939113364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8">
        <v>0</v>
      </c>
      <c r="AT27" s="18">
        <v>0</v>
      </c>
      <c r="AU27" s="18">
        <v>0</v>
      </c>
      <c r="AV27" s="18">
        <v>0</v>
      </c>
      <c r="AW27" s="18">
        <v>0</v>
      </c>
      <c r="AX27" s="18">
        <v>0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0</v>
      </c>
      <c r="BF27" s="18">
        <v>0</v>
      </c>
      <c r="BG27" s="18">
        <v>0</v>
      </c>
    </row>
    <row r="28" spans="2:60" s="16" customFormat="1" outlineLevel="1" x14ac:dyDescent="0.2">
      <c r="B28" s="19" t="s">
        <v>68</v>
      </c>
      <c r="C28" s="19" t="s">
        <v>75</v>
      </c>
      <c r="D28" s="19" t="s">
        <v>56</v>
      </c>
      <c r="E28" s="15" t="s">
        <v>59</v>
      </c>
      <c r="F28" s="16">
        <v>1</v>
      </c>
      <c r="G28" s="17" t="s">
        <v>53</v>
      </c>
      <c r="H28" s="17" t="s">
        <v>55</v>
      </c>
      <c r="I28" s="17" t="s">
        <v>50</v>
      </c>
      <c r="J28" s="20">
        <f t="shared" si="12"/>
        <v>3242640</v>
      </c>
      <c r="K28" s="18">
        <v>0</v>
      </c>
      <c r="L28" s="18">
        <v>0</v>
      </c>
      <c r="M28" s="18">
        <v>0</v>
      </c>
      <c r="N28" s="18">
        <v>810660</v>
      </c>
      <c r="O28" s="18">
        <v>0</v>
      </c>
      <c r="P28" s="18">
        <v>0</v>
      </c>
      <c r="Q28" s="18">
        <v>810660</v>
      </c>
      <c r="R28" s="18">
        <v>0</v>
      </c>
      <c r="S28" s="18">
        <v>0</v>
      </c>
      <c r="T28" s="18">
        <v>810660</v>
      </c>
      <c r="U28" s="18">
        <v>0</v>
      </c>
      <c r="V28" s="18">
        <v>0</v>
      </c>
      <c r="W28" s="18">
        <v>810660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18">
        <v>0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8">
        <v>0</v>
      </c>
      <c r="AT28" s="18">
        <v>0</v>
      </c>
      <c r="AU28" s="18">
        <v>0</v>
      </c>
      <c r="AV28" s="18">
        <v>0</v>
      </c>
      <c r="AW28" s="18">
        <v>0</v>
      </c>
      <c r="AX28" s="18">
        <v>0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</v>
      </c>
      <c r="BF28" s="18">
        <v>0</v>
      </c>
      <c r="BG28" s="18">
        <v>0</v>
      </c>
    </row>
    <row r="29" spans="2:60" ht="16" thickBot="1" x14ac:dyDescent="0.25">
      <c r="B29" s="3" t="s">
        <v>0</v>
      </c>
      <c r="C29" s="3"/>
      <c r="D29" s="3"/>
      <c r="E29" s="13"/>
      <c r="F29" s="3"/>
      <c r="G29" s="3"/>
      <c r="H29" s="3"/>
      <c r="I29" s="3"/>
      <c r="J29" s="7">
        <f>J25</f>
        <v>59042640.313019089</v>
      </c>
      <c r="K29" s="24">
        <f>K25</f>
        <v>21432792.093905725</v>
      </c>
      <c r="L29" s="24">
        <f t="shared" ref="L29:BG29" si="13">L25</f>
        <v>0</v>
      </c>
      <c r="M29" s="24">
        <f t="shared" si="13"/>
        <v>0</v>
      </c>
      <c r="N29" s="24">
        <f t="shared" si="13"/>
        <v>4577711.49</v>
      </c>
      <c r="O29" s="24">
        <f t="shared" si="13"/>
        <v>0</v>
      </c>
      <c r="P29" s="24">
        <f t="shared" si="13"/>
        <v>0</v>
      </c>
      <c r="Q29" s="24">
        <f t="shared" si="13"/>
        <v>4426492.5199999996</v>
      </c>
      <c r="R29" s="24">
        <f t="shared" si="13"/>
        <v>0</v>
      </c>
      <c r="S29" s="24">
        <f t="shared" si="13"/>
        <v>0</v>
      </c>
      <c r="T29" s="24">
        <f t="shared" si="13"/>
        <v>4695274.7</v>
      </c>
      <c r="U29" s="24">
        <f t="shared" si="13"/>
        <v>0</v>
      </c>
      <c r="V29" s="24">
        <f t="shared" si="13"/>
        <v>0</v>
      </c>
      <c r="W29" s="24">
        <f t="shared" si="13"/>
        <v>5585287.5699999994</v>
      </c>
      <c r="X29" s="24">
        <f t="shared" si="13"/>
        <v>0</v>
      </c>
      <c r="Y29" s="24">
        <f t="shared" si="13"/>
        <v>0</v>
      </c>
      <c r="Z29" s="24">
        <f t="shared" si="13"/>
        <v>0</v>
      </c>
      <c r="AA29" s="24">
        <f t="shared" si="13"/>
        <v>0</v>
      </c>
      <c r="AB29" s="24">
        <f t="shared" si="13"/>
        <v>0</v>
      </c>
      <c r="AC29" s="24">
        <f t="shared" si="13"/>
        <v>0</v>
      </c>
      <c r="AD29" s="24">
        <f t="shared" si="13"/>
        <v>0</v>
      </c>
      <c r="AE29" s="24">
        <f t="shared" si="13"/>
        <v>0</v>
      </c>
      <c r="AF29" s="24">
        <f t="shared" si="13"/>
        <v>0</v>
      </c>
      <c r="AG29" s="24">
        <f t="shared" si="13"/>
        <v>0</v>
      </c>
      <c r="AH29" s="24">
        <f t="shared" si="13"/>
        <v>0</v>
      </c>
      <c r="AI29" s="24">
        <f t="shared" si="13"/>
        <v>18325081.939113364</v>
      </c>
      <c r="AJ29" s="24">
        <f t="shared" si="13"/>
        <v>0</v>
      </c>
      <c r="AK29" s="24">
        <f t="shared" si="13"/>
        <v>0</v>
      </c>
      <c r="AL29" s="24">
        <f t="shared" si="13"/>
        <v>0</v>
      </c>
      <c r="AM29" s="24">
        <f t="shared" si="13"/>
        <v>0</v>
      </c>
      <c r="AN29" s="24">
        <f t="shared" si="13"/>
        <v>0</v>
      </c>
      <c r="AO29" s="24">
        <f t="shared" si="13"/>
        <v>0</v>
      </c>
      <c r="AP29" s="24">
        <f t="shared" si="13"/>
        <v>0</v>
      </c>
      <c r="AQ29" s="24">
        <f t="shared" si="13"/>
        <v>0</v>
      </c>
      <c r="AR29" s="24">
        <f t="shared" si="13"/>
        <v>0</v>
      </c>
      <c r="AS29" s="24">
        <f t="shared" si="13"/>
        <v>0</v>
      </c>
      <c r="AT29" s="24">
        <f t="shared" si="13"/>
        <v>0</v>
      </c>
      <c r="AU29" s="24">
        <f t="shared" si="13"/>
        <v>0</v>
      </c>
      <c r="AV29" s="24">
        <f t="shared" si="13"/>
        <v>0</v>
      </c>
      <c r="AW29" s="24">
        <f t="shared" si="13"/>
        <v>0</v>
      </c>
      <c r="AX29" s="24">
        <f t="shared" si="13"/>
        <v>0</v>
      </c>
      <c r="AY29" s="24">
        <f t="shared" si="13"/>
        <v>0</v>
      </c>
      <c r="AZ29" s="24">
        <f t="shared" si="13"/>
        <v>0</v>
      </c>
      <c r="BA29" s="24">
        <f t="shared" si="13"/>
        <v>0</v>
      </c>
      <c r="BB29" s="24">
        <f t="shared" si="13"/>
        <v>0</v>
      </c>
      <c r="BC29" s="24">
        <f t="shared" si="13"/>
        <v>0</v>
      </c>
      <c r="BD29" s="24">
        <f t="shared" si="13"/>
        <v>0</v>
      </c>
      <c r="BE29" s="24">
        <f t="shared" si="13"/>
        <v>0</v>
      </c>
      <c r="BF29" s="24">
        <f t="shared" si="13"/>
        <v>0</v>
      </c>
      <c r="BG29" s="24">
        <f t="shared" si="13"/>
        <v>0</v>
      </c>
    </row>
    <row r="30" spans="2:60" ht="16" thickTop="1" x14ac:dyDescent="0.2">
      <c r="F30" s="1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</row>
    <row r="31" spans="2:60" ht="16" thickBot="1" x14ac:dyDescent="0.25">
      <c r="B31" s="8" t="s">
        <v>7</v>
      </c>
      <c r="C31" s="8"/>
      <c r="D31" s="8"/>
      <c r="E31" s="14"/>
      <c r="F31" s="8"/>
      <c r="G31" s="8"/>
      <c r="H31" s="8"/>
      <c r="I31" s="8"/>
      <c r="J31" s="22">
        <f>J23+J19+J29</f>
        <v>165300000</v>
      </c>
      <c r="K31" s="9">
        <f>K23+K19+K29</f>
        <v>66119999.999999993</v>
      </c>
      <c r="L31" s="9">
        <f t="shared" ref="L31:BG31" si="14">L23+L19+L29</f>
        <v>0</v>
      </c>
      <c r="M31" s="9">
        <f t="shared" si="14"/>
        <v>772015.09</v>
      </c>
      <c r="N31" s="9">
        <f t="shared" si="14"/>
        <v>5429734.9100000001</v>
      </c>
      <c r="O31" s="9">
        <f t="shared" si="14"/>
        <v>772015.09</v>
      </c>
      <c r="P31" s="9">
        <f t="shared" si="14"/>
        <v>540113.11</v>
      </c>
      <c r="Q31" s="9">
        <f t="shared" si="14"/>
        <v>4886621.8</v>
      </c>
      <c r="R31" s="9">
        <f t="shared" si="14"/>
        <v>537811.52</v>
      </c>
      <c r="S31" s="9">
        <f t="shared" si="14"/>
        <v>443632.36</v>
      </c>
      <c r="T31" s="9">
        <f t="shared" si="14"/>
        <v>5217306.12</v>
      </c>
      <c r="U31" s="9">
        <f t="shared" si="14"/>
        <v>204484.7</v>
      </c>
      <c r="V31" s="9">
        <f t="shared" si="14"/>
        <v>204493.03</v>
      </c>
      <c r="W31" s="9">
        <f t="shared" si="14"/>
        <v>5789772.2699999996</v>
      </c>
      <c r="X31" s="9">
        <f t="shared" si="14"/>
        <v>204493.03</v>
      </c>
      <c r="Y31" s="9">
        <f t="shared" si="14"/>
        <v>201801.96</v>
      </c>
      <c r="Z31" s="9">
        <f t="shared" si="14"/>
        <v>201810.33</v>
      </c>
      <c r="AA31" s="9">
        <f t="shared" si="14"/>
        <v>85143.59</v>
      </c>
      <c r="AB31" s="9">
        <f t="shared" si="14"/>
        <v>85143.59</v>
      </c>
      <c r="AC31" s="9">
        <f t="shared" si="14"/>
        <v>82669.48000000001</v>
      </c>
      <c r="AD31" s="9">
        <f t="shared" si="14"/>
        <v>80301.69</v>
      </c>
      <c r="AE31" s="9">
        <f t="shared" si="14"/>
        <v>80301.69</v>
      </c>
      <c r="AF31" s="9">
        <f t="shared" si="14"/>
        <v>80301.69</v>
      </c>
      <c r="AG31" s="9">
        <f t="shared" si="14"/>
        <v>0</v>
      </c>
      <c r="AH31" s="9">
        <f t="shared" si="14"/>
        <v>0</v>
      </c>
      <c r="AI31" s="9">
        <f t="shared" si="14"/>
        <v>23690032.950000003</v>
      </c>
      <c r="AJ31" s="9">
        <f t="shared" si="14"/>
        <v>0</v>
      </c>
      <c r="AK31" s="9">
        <f t="shared" si="14"/>
        <v>0</v>
      </c>
      <c r="AL31" s="9">
        <f t="shared" si="14"/>
        <v>0</v>
      </c>
      <c r="AM31" s="9">
        <f t="shared" si="14"/>
        <v>0</v>
      </c>
      <c r="AN31" s="9">
        <f t="shared" si="14"/>
        <v>0</v>
      </c>
      <c r="AO31" s="9">
        <f t="shared" si="14"/>
        <v>0</v>
      </c>
      <c r="AP31" s="9">
        <f t="shared" si="14"/>
        <v>0</v>
      </c>
      <c r="AQ31" s="9">
        <f t="shared" si="14"/>
        <v>0</v>
      </c>
      <c r="AR31" s="9">
        <f t="shared" si="14"/>
        <v>0</v>
      </c>
      <c r="AS31" s="9">
        <f t="shared" si="14"/>
        <v>0</v>
      </c>
      <c r="AT31" s="9">
        <f t="shared" si="14"/>
        <v>0</v>
      </c>
      <c r="AU31" s="9">
        <f t="shared" si="14"/>
        <v>24795000</v>
      </c>
      <c r="AV31" s="9">
        <f t="shared" si="14"/>
        <v>0</v>
      </c>
      <c r="AW31" s="9">
        <f t="shared" si="14"/>
        <v>0</v>
      </c>
      <c r="AX31" s="9">
        <f t="shared" si="14"/>
        <v>0</v>
      </c>
      <c r="AY31" s="9">
        <f t="shared" si="14"/>
        <v>0</v>
      </c>
      <c r="AZ31" s="9">
        <f t="shared" si="14"/>
        <v>0</v>
      </c>
      <c r="BA31" s="9">
        <f t="shared" si="14"/>
        <v>0</v>
      </c>
      <c r="BB31" s="9">
        <f t="shared" si="14"/>
        <v>0</v>
      </c>
      <c r="BC31" s="9">
        <f t="shared" si="14"/>
        <v>0</v>
      </c>
      <c r="BD31" s="9">
        <f t="shared" si="14"/>
        <v>0</v>
      </c>
      <c r="BE31" s="9">
        <f t="shared" si="14"/>
        <v>0</v>
      </c>
      <c r="BF31" s="9">
        <f t="shared" si="14"/>
        <v>0</v>
      </c>
      <c r="BG31" s="9">
        <f t="shared" si="14"/>
        <v>24795000</v>
      </c>
      <c r="BH31" s="1"/>
    </row>
    <row r="32" spans="2:60" ht="16" thickTop="1" x14ac:dyDescent="0.2">
      <c r="K32" s="4">
        <f>K31/$J31</f>
        <v>0.39999999999999997</v>
      </c>
      <c r="L32" s="4">
        <f t="shared" ref="L32:BG32" si="15">L31/$J31</f>
        <v>0</v>
      </c>
      <c r="M32" s="4">
        <f t="shared" si="15"/>
        <v>4.6703877192982458E-3</v>
      </c>
      <c r="N32" s="4">
        <f t="shared" si="15"/>
        <v>3.2847761101028432E-2</v>
      </c>
      <c r="O32" s="4">
        <f t="shared" si="15"/>
        <v>4.6703877192982458E-3</v>
      </c>
      <c r="P32" s="4">
        <f t="shared" si="15"/>
        <v>3.2674719298245612E-3</v>
      </c>
      <c r="Q32" s="4">
        <f t="shared" si="15"/>
        <v>2.9562140350877193E-2</v>
      </c>
      <c r="R32" s="4">
        <f t="shared" si="15"/>
        <v>3.2535482153660013E-3</v>
      </c>
      <c r="S32" s="4">
        <f t="shared" si="15"/>
        <v>2.6838013309134906E-3</v>
      </c>
      <c r="T32" s="4">
        <f t="shared" si="15"/>
        <v>3.156265045372051E-2</v>
      </c>
      <c r="U32" s="4">
        <f t="shared" si="15"/>
        <v>1.2370520266182699E-3</v>
      </c>
      <c r="V32" s="4">
        <f t="shared" si="15"/>
        <v>1.2371024198427102E-3</v>
      </c>
      <c r="W32" s="4">
        <f t="shared" si="15"/>
        <v>3.502584555353902E-2</v>
      </c>
      <c r="X32" s="4">
        <f t="shared" si="15"/>
        <v>1.2371024198427102E-3</v>
      </c>
      <c r="Y32" s="4">
        <f t="shared" si="15"/>
        <v>1.2208225045372051E-3</v>
      </c>
      <c r="Z32" s="4">
        <f t="shared" si="15"/>
        <v>1.2208731397459164E-3</v>
      </c>
      <c r="AA32" s="4">
        <f t="shared" si="15"/>
        <v>5.1508523895946764E-4</v>
      </c>
      <c r="AB32" s="4">
        <f t="shared" si="15"/>
        <v>5.1508523895946764E-4</v>
      </c>
      <c r="AC32" s="4">
        <f t="shared" si="15"/>
        <v>5.0011784633998801E-4</v>
      </c>
      <c r="AD32" s="4">
        <f t="shared" si="15"/>
        <v>4.8579364791288566E-4</v>
      </c>
      <c r="AE32" s="4">
        <f t="shared" si="15"/>
        <v>4.8579364791288566E-4</v>
      </c>
      <c r="AF32" s="4">
        <f t="shared" si="15"/>
        <v>4.8579364791288566E-4</v>
      </c>
      <c r="AG32" s="4">
        <f t="shared" si="15"/>
        <v>0</v>
      </c>
      <c r="AH32" s="4">
        <f t="shared" si="15"/>
        <v>0</v>
      </c>
      <c r="AI32" s="4">
        <f t="shared" si="15"/>
        <v>0.14331538384754994</v>
      </c>
      <c r="AJ32" s="4">
        <f t="shared" si="15"/>
        <v>0</v>
      </c>
      <c r="AK32" s="4">
        <f t="shared" si="15"/>
        <v>0</v>
      </c>
      <c r="AL32" s="4">
        <f t="shared" si="15"/>
        <v>0</v>
      </c>
      <c r="AM32" s="4">
        <f t="shared" si="15"/>
        <v>0</v>
      </c>
      <c r="AN32" s="4">
        <f t="shared" si="15"/>
        <v>0</v>
      </c>
      <c r="AO32" s="4">
        <f t="shared" si="15"/>
        <v>0</v>
      </c>
      <c r="AP32" s="4">
        <f t="shared" si="15"/>
        <v>0</v>
      </c>
      <c r="AQ32" s="4">
        <f t="shared" si="15"/>
        <v>0</v>
      </c>
      <c r="AR32" s="4">
        <f t="shared" si="15"/>
        <v>0</v>
      </c>
      <c r="AS32" s="4">
        <f t="shared" si="15"/>
        <v>0</v>
      </c>
      <c r="AT32" s="4">
        <f t="shared" si="15"/>
        <v>0</v>
      </c>
      <c r="AU32" s="4">
        <f t="shared" si="15"/>
        <v>0.15</v>
      </c>
      <c r="AV32" s="4">
        <f t="shared" si="15"/>
        <v>0</v>
      </c>
      <c r="AW32" s="4">
        <f t="shared" si="15"/>
        <v>0</v>
      </c>
      <c r="AX32" s="4">
        <f t="shared" si="15"/>
        <v>0</v>
      </c>
      <c r="AY32" s="4">
        <f t="shared" si="15"/>
        <v>0</v>
      </c>
      <c r="AZ32" s="4">
        <f t="shared" si="15"/>
        <v>0</v>
      </c>
      <c r="BA32" s="4">
        <f t="shared" si="15"/>
        <v>0</v>
      </c>
      <c r="BB32" s="4">
        <f t="shared" si="15"/>
        <v>0</v>
      </c>
      <c r="BC32" s="4">
        <f t="shared" si="15"/>
        <v>0</v>
      </c>
      <c r="BD32" s="4">
        <f t="shared" si="15"/>
        <v>0</v>
      </c>
      <c r="BE32" s="4">
        <f t="shared" si="15"/>
        <v>0</v>
      </c>
      <c r="BF32" s="4">
        <f t="shared" si="15"/>
        <v>0</v>
      </c>
      <c r="BG32" s="4">
        <f t="shared" si="15"/>
        <v>0.15</v>
      </c>
    </row>
    <row r="33" spans="2:35" x14ac:dyDescent="0.2">
      <c r="E33" s="10"/>
      <c r="F33" s="10"/>
      <c r="G33" s="10"/>
      <c r="H33" s="10"/>
      <c r="I33" s="10"/>
    </row>
    <row r="34" spans="2:35" x14ac:dyDescent="0.2">
      <c r="E34" s="10"/>
      <c r="F34" s="10"/>
      <c r="G34" s="10"/>
      <c r="H34" s="10"/>
      <c r="I34" s="10"/>
    </row>
    <row r="35" spans="2:35" x14ac:dyDescent="0.2">
      <c r="B35" t="s">
        <v>70</v>
      </c>
      <c r="E35" s="10"/>
      <c r="F35" s="10"/>
      <c r="G35" s="10"/>
      <c r="H35" s="10"/>
      <c r="I35" s="10"/>
      <c r="K35" s="1">
        <f>K26</f>
        <v>0</v>
      </c>
    </row>
    <row r="36" spans="2:35" x14ac:dyDescent="0.2">
      <c r="B36" t="str">
        <f>C26</f>
        <v>FTTx - Portas Iluminadas</v>
      </c>
      <c r="I36" s="27" t="s">
        <v>66</v>
      </c>
      <c r="K36" s="1">
        <f>K26</f>
        <v>0</v>
      </c>
      <c r="L36" s="1">
        <f>$N26/3</f>
        <v>936585</v>
      </c>
      <c r="M36" s="1">
        <f>$N26/3</f>
        <v>936585</v>
      </c>
      <c r="N36" s="1">
        <f>$N26/3</f>
        <v>936585</v>
      </c>
      <c r="O36" s="1">
        <f>$N26/3</f>
        <v>936585</v>
      </c>
      <c r="P36" s="1">
        <f t="shared" ref="P36:W36" si="16">$N26/3</f>
        <v>936585</v>
      </c>
      <c r="Q36" s="1">
        <f t="shared" si="16"/>
        <v>936585</v>
      </c>
      <c r="R36" s="1">
        <f t="shared" si="16"/>
        <v>936585</v>
      </c>
      <c r="S36" s="1">
        <f t="shared" si="16"/>
        <v>936585</v>
      </c>
      <c r="T36" s="1">
        <f t="shared" si="16"/>
        <v>936585</v>
      </c>
      <c r="U36" s="1">
        <f t="shared" si="16"/>
        <v>936585</v>
      </c>
      <c r="V36" s="1">
        <f t="shared" si="16"/>
        <v>936585</v>
      </c>
      <c r="W36" s="1">
        <f t="shared" si="16"/>
        <v>936585</v>
      </c>
    </row>
    <row r="37" spans="2:35" x14ac:dyDescent="0.2">
      <c r="B37" t="str">
        <f>C27</f>
        <v>Setup</v>
      </c>
      <c r="I37" s="26" t="s">
        <v>65</v>
      </c>
      <c r="K37" s="1">
        <f>K27</f>
        <v>21432792.093905725</v>
      </c>
      <c r="L37" s="1">
        <f>$N27/3</f>
        <v>319098.83000000007</v>
      </c>
      <c r="M37" s="1">
        <f>$N27/3</f>
        <v>319098.83000000007</v>
      </c>
      <c r="N37" s="1">
        <f>$N27/3</f>
        <v>319098.83000000007</v>
      </c>
      <c r="O37" s="1">
        <f>$Q27/3</f>
        <v>268692.50666666654</v>
      </c>
      <c r="P37" s="1">
        <f t="shared" ref="P37:Q37" si="17">$Q27/3</f>
        <v>268692.50666666654</v>
      </c>
      <c r="Q37" s="1">
        <f t="shared" si="17"/>
        <v>268692.50666666654</v>
      </c>
      <c r="R37" s="1">
        <f>$T27/3</f>
        <v>358286.56666666671</v>
      </c>
      <c r="S37" s="1">
        <f t="shared" ref="S37:T37" si="18">$T27/3</f>
        <v>358286.56666666671</v>
      </c>
      <c r="T37" s="1">
        <f t="shared" si="18"/>
        <v>358286.56666666671</v>
      </c>
      <c r="U37" s="1">
        <f>$W27/3</f>
        <v>654957.52333333308</v>
      </c>
      <c r="V37" s="1">
        <f t="shared" ref="V37:W37" si="19">$W27/3</f>
        <v>654957.52333333308</v>
      </c>
      <c r="W37" s="1">
        <f t="shared" si="19"/>
        <v>654957.52333333308</v>
      </c>
      <c r="AI37" s="1">
        <f>AI27</f>
        <v>18325081.939113364</v>
      </c>
    </row>
    <row r="38" spans="2:35" x14ac:dyDescent="0.2">
      <c r="B38" t="str">
        <f>C28</f>
        <v>Serviço Suporte N3</v>
      </c>
      <c r="K38" s="1">
        <f>K28</f>
        <v>0</v>
      </c>
      <c r="L38" s="1">
        <f>$N28/3</f>
        <v>270220</v>
      </c>
      <c r="M38" s="1">
        <f t="shared" ref="M38:W38" si="20">$N28/3</f>
        <v>270220</v>
      </c>
      <c r="N38" s="1">
        <f t="shared" si="20"/>
        <v>270220</v>
      </c>
      <c r="O38" s="1">
        <f t="shared" si="20"/>
        <v>270220</v>
      </c>
      <c r="P38" s="1">
        <f t="shared" si="20"/>
        <v>270220</v>
      </c>
      <c r="Q38" s="1">
        <f t="shared" si="20"/>
        <v>270220</v>
      </c>
      <c r="R38" s="1">
        <f t="shared" si="20"/>
        <v>270220</v>
      </c>
      <c r="S38" s="1">
        <f t="shared" si="20"/>
        <v>270220</v>
      </c>
      <c r="T38" s="1">
        <f t="shared" si="20"/>
        <v>270220</v>
      </c>
      <c r="U38" s="1">
        <f t="shared" si="20"/>
        <v>270220</v>
      </c>
      <c r="V38" s="1">
        <f t="shared" si="20"/>
        <v>270220</v>
      </c>
      <c r="W38" s="1">
        <f t="shared" si="20"/>
        <v>270220</v>
      </c>
    </row>
    <row r="39" spans="2:35" x14ac:dyDescent="0.2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2:35" x14ac:dyDescent="0.2">
      <c r="I40" s="1"/>
      <c r="J40" s="35">
        <f>J26</f>
        <v>11239020</v>
      </c>
      <c r="K40" s="1"/>
      <c r="L40" s="1"/>
      <c r="M40" s="1"/>
      <c r="N40" s="1"/>
      <c r="O40" s="1"/>
      <c r="P40" s="1"/>
      <c r="Q40" s="1"/>
      <c r="R40" s="1"/>
    </row>
    <row r="41" spans="2:35" x14ac:dyDescent="0.2">
      <c r="I41" s="1"/>
      <c r="J41" s="35">
        <v>62400</v>
      </c>
      <c r="K41" s="1"/>
      <c r="L41" s="1"/>
      <c r="M41" s="1"/>
      <c r="N41" s="1"/>
      <c r="O41" s="1"/>
      <c r="P41" s="1"/>
      <c r="Q41" s="1"/>
      <c r="R41" s="1"/>
    </row>
    <row r="42" spans="2:35" x14ac:dyDescent="0.2">
      <c r="I42" s="1"/>
      <c r="J42" s="35">
        <f>J40/J41</f>
        <v>180.11250000000001</v>
      </c>
      <c r="K42" s="1"/>
      <c r="L42" s="1"/>
      <c r="M42" s="1"/>
      <c r="N42" s="1"/>
      <c r="O42" s="1"/>
      <c r="P42" s="1"/>
      <c r="Q42" s="1"/>
      <c r="R42" s="1"/>
    </row>
    <row r="43" spans="2:35" x14ac:dyDescent="0.2">
      <c r="J43" s="36">
        <f>J42/12</f>
        <v>15.009375</v>
      </c>
    </row>
  </sheetData>
  <pageMargins left="0.7" right="0.7" top="0.75" bottom="0.75" header="0.3" footer="0.3"/>
  <ignoredErrors>
    <ignoredError sqref="K4:BG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A784-1C98-9F45-AB74-8C05D98CDB5F}">
  <dimension ref="A1:CD51"/>
  <sheetViews>
    <sheetView zoomScale="110" zoomScaleNormal="110" workbookViewId="0">
      <pane xSplit="1" ySplit="2" topLeftCell="B16" activePane="bottomRight" state="frozen"/>
      <selection pane="topRight" activeCell="B1" sqref="B1"/>
      <selection pane="bottomLeft" activeCell="A3" sqref="A3"/>
      <selection pane="bottomRight" activeCell="A28" sqref="A28:BB30"/>
    </sheetView>
  </sheetViews>
  <sheetFormatPr baseColWidth="10" defaultRowHeight="15" x14ac:dyDescent="0.2"/>
  <cols>
    <col min="1" max="1" width="29.1640625" bestFit="1" customWidth="1"/>
    <col min="2" max="2" width="21.5" customWidth="1"/>
    <col min="3" max="3" width="15.1640625" bestFit="1" customWidth="1"/>
    <col min="4" max="4" width="14.6640625" bestFit="1" customWidth="1"/>
    <col min="5" max="5" width="14.5" bestFit="1" customWidth="1"/>
    <col min="6" max="17" width="12.6640625" bestFit="1" customWidth="1"/>
    <col min="18" max="20" width="11.1640625" bestFit="1" customWidth="1"/>
    <col min="21" max="24" width="11" bestFit="1" customWidth="1"/>
    <col min="25" max="25" width="12.6640625" bestFit="1" customWidth="1"/>
    <col min="26" max="26" width="11" bestFit="1" customWidth="1"/>
    <col min="27" max="27" width="12.6640625" bestFit="1" customWidth="1"/>
    <col min="28" max="28" width="11" bestFit="1" customWidth="1"/>
    <col min="29" max="29" width="13.6640625" bestFit="1" customWidth="1"/>
    <col min="30" max="40" width="11" bestFit="1" customWidth="1"/>
    <col min="41" max="41" width="13.6640625" bestFit="1" customWidth="1"/>
    <col min="42" max="52" width="11" bestFit="1" customWidth="1"/>
    <col min="53" max="53" width="13.6640625" bestFit="1" customWidth="1"/>
    <col min="54" max="55" width="14.6640625" bestFit="1" customWidth="1"/>
  </cols>
  <sheetData>
    <row r="1" spans="1:82" s="33" customFormat="1" ht="32" x14ac:dyDescent="0.2">
      <c r="A1" s="37" t="s">
        <v>71</v>
      </c>
      <c r="B1" s="38" t="s">
        <v>78</v>
      </c>
      <c r="C1" s="38" t="s">
        <v>82</v>
      </c>
      <c r="D1" s="37" t="s">
        <v>73</v>
      </c>
      <c r="E1" s="34" t="s">
        <v>79</v>
      </c>
      <c r="F1" s="34" t="s">
        <v>79</v>
      </c>
      <c r="G1" s="34" t="s">
        <v>79</v>
      </c>
      <c r="H1" s="34" t="s">
        <v>79</v>
      </c>
      <c r="I1" s="34" t="s">
        <v>79</v>
      </c>
      <c r="J1" s="34" t="s">
        <v>79</v>
      </c>
      <c r="K1" s="34" t="s">
        <v>79</v>
      </c>
      <c r="L1" s="34" t="s">
        <v>79</v>
      </c>
      <c r="M1" s="34" t="s">
        <v>79</v>
      </c>
      <c r="N1" s="34" t="s">
        <v>79</v>
      </c>
      <c r="O1" s="34" t="s">
        <v>79</v>
      </c>
      <c r="P1" s="34" t="s">
        <v>79</v>
      </c>
      <c r="Q1" s="34" t="s">
        <v>79</v>
      </c>
      <c r="R1" s="34" t="s">
        <v>79</v>
      </c>
      <c r="S1" s="34" t="s">
        <v>79</v>
      </c>
      <c r="T1" s="34" t="s">
        <v>79</v>
      </c>
      <c r="U1" s="34" t="s">
        <v>79</v>
      </c>
      <c r="V1" s="34" t="s">
        <v>79</v>
      </c>
      <c r="W1" s="34" t="s">
        <v>79</v>
      </c>
      <c r="X1" s="34" t="s">
        <v>79</v>
      </c>
      <c r="Y1" s="34" t="s">
        <v>79</v>
      </c>
      <c r="Z1" s="34" t="s">
        <v>79</v>
      </c>
      <c r="AA1" s="34" t="s">
        <v>79</v>
      </c>
      <c r="AB1" s="34" t="s">
        <v>79</v>
      </c>
      <c r="AC1" s="34" t="s">
        <v>79</v>
      </c>
      <c r="AD1" s="34" t="s">
        <v>79</v>
      </c>
      <c r="AE1" s="34" t="s">
        <v>79</v>
      </c>
      <c r="AF1" s="34" t="s">
        <v>79</v>
      </c>
      <c r="AG1" s="34" t="s">
        <v>79</v>
      </c>
      <c r="AH1" s="34" t="s">
        <v>79</v>
      </c>
      <c r="AI1" s="34" t="s">
        <v>79</v>
      </c>
      <c r="AJ1" s="34" t="s">
        <v>79</v>
      </c>
      <c r="AK1" s="34" t="s">
        <v>79</v>
      </c>
      <c r="AL1" s="34" t="s">
        <v>79</v>
      </c>
      <c r="AM1" s="34" t="s">
        <v>79</v>
      </c>
      <c r="AN1" s="34" t="s">
        <v>79</v>
      </c>
      <c r="AO1" s="34" t="s">
        <v>79</v>
      </c>
      <c r="AP1" s="34" t="s">
        <v>79</v>
      </c>
      <c r="AQ1" s="34" t="s">
        <v>79</v>
      </c>
      <c r="AR1" s="34" t="s">
        <v>79</v>
      </c>
      <c r="AS1" s="34" t="s">
        <v>79</v>
      </c>
      <c r="AT1" s="34" t="s">
        <v>79</v>
      </c>
      <c r="AU1" s="34" t="s">
        <v>79</v>
      </c>
      <c r="AV1" s="34" t="s">
        <v>79</v>
      </c>
      <c r="AW1" s="34" t="s">
        <v>79</v>
      </c>
      <c r="AX1" s="34" t="s">
        <v>79</v>
      </c>
      <c r="AY1" s="34" t="s">
        <v>79</v>
      </c>
      <c r="AZ1" s="34" t="s">
        <v>79</v>
      </c>
      <c r="BA1" s="34" t="s">
        <v>79</v>
      </c>
    </row>
    <row r="2" spans="1:82" x14ac:dyDescent="0.2">
      <c r="A2" s="39"/>
      <c r="B2" s="39"/>
      <c r="C2" s="39"/>
      <c r="D2" s="39"/>
      <c r="E2" s="28">
        <v>46230</v>
      </c>
      <c r="F2" s="28">
        <v>46265</v>
      </c>
      <c r="G2" s="28">
        <v>46295</v>
      </c>
      <c r="H2" s="28">
        <v>46326</v>
      </c>
      <c r="I2" s="28">
        <v>46356</v>
      </c>
      <c r="J2" s="28">
        <v>46387</v>
      </c>
      <c r="K2" s="28">
        <v>46418</v>
      </c>
      <c r="L2" s="28">
        <v>46446</v>
      </c>
      <c r="M2" s="28">
        <v>46477</v>
      </c>
      <c r="N2" s="28">
        <v>46507</v>
      </c>
      <c r="O2" s="28">
        <v>46538</v>
      </c>
      <c r="P2" s="28">
        <v>46568</v>
      </c>
      <c r="Q2" s="28">
        <v>46599</v>
      </c>
      <c r="R2" s="28">
        <v>46630</v>
      </c>
      <c r="S2" s="28">
        <v>46660</v>
      </c>
      <c r="T2" s="28">
        <v>46691</v>
      </c>
      <c r="U2" s="28">
        <v>46721</v>
      </c>
      <c r="V2" s="28">
        <v>46752</v>
      </c>
      <c r="W2" s="28">
        <v>46783</v>
      </c>
      <c r="X2" s="28">
        <v>46812</v>
      </c>
      <c r="Y2" s="28">
        <v>46843</v>
      </c>
      <c r="Z2" s="28">
        <v>46873</v>
      </c>
      <c r="AA2" s="28">
        <v>46904</v>
      </c>
      <c r="AB2" s="28">
        <v>46934</v>
      </c>
      <c r="AC2" s="28">
        <v>46965</v>
      </c>
      <c r="AD2" s="28">
        <v>46996</v>
      </c>
      <c r="AE2" s="28">
        <v>47026</v>
      </c>
      <c r="AF2" s="28">
        <v>47057</v>
      </c>
      <c r="AG2" s="28">
        <v>47087</v>
      </c>
      <c r="AH2" s="28">
        <v>47118</v>
      </c>
      <c r="AI2" s="28">
        <v>47149</v>
      </c>
      <c r="AJ2" s="28">
        <v>47177</v>
      </c>
      <c r="AK2" s="28">
        <v>47208</v>
      </c>
      <c r="AL2" s="28">
        <v>47238</v>
      </c>
      <c r="AM2" s="28">
        <v>47269</v>
      </c>
      <c r="AN2" s="28">
        <v>47299</v>
      </c>
      <c r="AO2" s="28">
        <v>47330</v>
      </c>
      <c r="AP2" s="28">
        <v>47361</v>
      </c>
      <c r="AQ2" s="28">
        <v>47391</v>
      </c>
      <c r="AR2" s="28">
        <v>47422</v>
      </c>
      <c r="AS2" s="28">
        <v>47452</v>
      </c>
      <c r="AT2" s="28">
        <v>47483</v>
      </c>
      <c r="AU2" s="28">
        <v>47514</v>
      </c>
      <c r="AV2" s="28">
        <v>47542</v>
      </c>
      <c r="AW2" s="28">
        <v>47573</v>
      </c>
      <c r="AX2" s="28">
        <v>47603</v>
      </c>
      <c r="AY2" s="28">
        <v>47634</v>
      </c>
      <c r="AZ2" s="28">
        <v>47664</v>
      </c>
      <c r="BA2" s="28">
        <v>47695</v>
      </c>
      <c r="BB2" s="28" t="s">
        <v>74</v>
      </c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</row>
    <row r="3" spans="1:82" x14ac:dyDescent="0.2">
      <c r="A3" s="39" t="s">
        <v>72</v>
      </c>
      <c r="B3" s="39" t="s">
        <v>81</v>
      </c>
      <c r="C3" s="39" t="s">
        <v>83</v>
      </c>
      <c r="D3" s="40">
        <f>'Fluxo de pagamentos'!J19</f>
        <v>77495078.956980914</v>
      </c>
      <c r="E3" s="29">
        <f>'Fluxo de pagamentos'!K19</f>
        <v>15924927.176094271</v>
      </c>
      <c r="F3" s="29">
        <f>'Fluxo de pagamentos'!L19</f>
        <v>0</v>
      </c>
      <c r="G3" s="29">
        <f>'Fluxo de pagamentos'!M19</f>
        <v>772015.09</v>
      </c>
      <c r="H3" s="29">
        <f>'Fluxo de pagamentos'!N19</f>
        <v>852023.41999999993</v>
      </c>
      <c r="I3" s="29">
        <f>'Fluxo de pagamentos'!O19</f>
        <v>772015.09</v>
      </c>
      <c r="J3" s="29">
        <f>'Fluxo de pagamentos'!P19</f>
        <v>540113.11</v>
      </c>
      <c r="K3" s="29">
        <f>'Fluxo de pagamentos'!Q19</f>
        <v>460129.27999999997</v>
      </c>
      <c r="L3" s="29">
        <f>'Fluxo de pagamentos'!R19</f>
        <v>537811.52</v>
      </c>
      <c r="M3" s="29">
        <f>'Fluxo de pagamentos'!S19</f>
        <v>443632.36</v>
      </c>
      <c r="N3" s="29">
        <f>'Fluxo de pagamentos'!T19</f>
        <v>522031.42</v>
      </c>
      <c r="O3" s="29">
        <f>'Fluxo de pagamentos'!U19</f>
        <v>204484.7</v>
      </c>
      <c r="P3" s="29">
        <f>'Fluxo de pagamentos'!V19</f>
        <v>204493.03</v>
      </c>
      <c r="Q3" s="29">
        <f>'Fluxo de pagamentos'!W19</f>
        <v>204484.7</v>
      </c>
      <c r="R3" s="29">
        <f>'Fluxo de pagamentos'!X19</f>
        <v>204493.03</v>
      </c>
      <c r="S3" s="29">
        <f>'Fluxo de pagamentos'!Y19</f>
        <v>201801.96</v>
      </c>
      <c r="T3" s="29">
        <f>'Fluxo de pagamentos'!Z19</f>
        <v>201810.33</v>
      </c>
      <c r="U3" s="29">
        <f>'Fluxo de pagamentos'!AA19</f>
        <v>85143.59</v>
      </c>
      <c r="V3" s="29">
        <f>'Fluxo de pagamentos'!AB19</f>
        <v>85143.59</v>
      </c>
      <c r="W3" s="29">
        <f>'Fluxo de pagamentos'!AC19</f>
        <v>82669.48000000001</v>
      </c>
      <c r="X3" s="29">
        <f>'Fluxo de pagamentos'!AD19</f>
        <v>80301.69</v>
      </c>
      <c r="Y3" s="29">
        <f>'Fluxo de pagamentos'!AE19</f>
        <v>80301.69</v>
      </c>
      <c r="Z3" s="29">
        <f>'Fluxo de pagamentos'!AF19</f>
        <v>80301.69</v>
      </c>
      <c r="AA3" s="29">
        <f>'Fluxo de pagamentos'!AG19</f>
        <v>0</v>
      </c>
      <c r="AB3" s="29">
        <f>'Fluxo de pagamentos'!AH19</f>
        <v>0</v>
      </c>
      <c r="AC3" s="29">
        <f>'Fluxo de pagamentos'!AI19</f>
        <v>5364951.0108866403</v>
      </c>
      <c r="AD3" s="29">
        <f>'Fluxo de pagamentos'!AJ19</f>
        <v>0</v>
      </c>
      <c r="AE3" s="29">
        <f>'Fluxo de pagamentos'!AK19</f>
        <v>0</v>
      </c>
      <c r="AF3" s="29">
        <f>'Fluxo de pagamentos'!AL19</f>
        <v>0</v>
      </c>
      <c r="AG3" s="29">
        <f>'Fluxo de pagamentos'!AM19</f>
        <v>0</v>
      </c>
      <c r="AH3" s="29">
        <f>'Fluxo de pagamentos'!AN19</f>
        <v>0</v>
      </c>
      <c r="AI3" s="29">
        <f>'Fluxo de pagamentos'!AO19</f>
        <v>0</v>
      </c>
      <c r="AJ3" s="29">
        <f>'Fluxo de pagamentos'!AP19</f>
        <v>0</v>
      </c>
      <c r="AK3" s="29">
        <f>'Fluxo de pagamentos'!AQ19</f>
        <v>0</v>
      </c>
      <c r="AL3" s="29">
        <f>'Fluxo de pagamentos'!AR19</f>
        <v>0</v>
      </c>
      <c r="AM3" s="29">
        <f>'Fluxo de pagamentos'!AS19</f>
        <v>0</v>
      </c>
      <c r="AN3" s="29">
        <f>'Fluxo de pagamentos'!AT19</f>
        <v>0</v>
      </c>
      <c r="AO3" s="29">
        <f>'Fluxo de pagamentos'!AU19</f>
        <v>24795000</v>
      </c>
      <c r="AP3" s="29">
        <f>'Fluxo de pagamentos'!AV19</f>
        <v>0</v>
      </c>
      <c r="AQ3" s="29">
        <f>'Fluxo de pagamentos'!AW19</f>
        <v>0</v>
      </c>
      <c r="AR3" s="29">
        <f>'Fluxo de pagamentos'!AX19</f>
        <v>0</v>
      </c>
      <c r="AS3" s="29">
        <f>'Fluxo de pagamentos'!AY19</f>
        <v>0</v>
      </c>
      <c r="AT3" s="29">
        <f>'Fluxo de pagamentos'!AZ19</f>
        <v>0</v>
      </c>
      <c r="AU3" s="29">
        <f>'Fluxo de pagamentos'!BA19</f>
        <v>0</v>
      </c>
      <c r="AV3" s="29">
        <f>'Fluxo de pagamentos'!BB19</f>
        <v>0</v>
      </c>
      <c r="AW3" s="29">
        <f>'Fluxo de pagamentos'!BC19</f>
        <v>0</v>
      </c>
      <c r="AX3" s="29">
        <f>'Fluxo de pagamentos'!BD19</f>
        <v>0</v>
      </c>
      <c r="AY3" s="29">
        <f>'Fluxo de pagamentos'!BE19</f>
        <v>0</v>
      </c>
      <c r="AZ3" s="29">
        <f>'Fluxo de pagamentos'!BF19</f>
        <v>0</v>
      </c>
      <c r="BA3" s="29">
        <f>'Fluxo de pagamentos'!BG19</f>
        <v>24795000</v>
      </c>
      <c r="BB3" s="30">
        <f>SUM(E3:BA3)</f>
        <v>77495078.956980914</v>
      </c>
    </row>
    <row r="4" spans="1:82" x14ac:dyDescent="0.2">
      <c r="A4" s="39" t="str">
        <f>'Fluxo de pagamentos'!B22</f>
        <v>Cessão Imobilizado</v>
      </c>
      <c r="B4" s="39" t="s">
        <v>87</v>
      </c>
      <c r="C4" s="39" t="s">
        <v>48</v>
      </c>
      <c r="D4" s="40">
        <f>'Fluxo de pagamentos'!K23</f>
        <v>28762280.73</v>
      </c>
      <c r="E4" s="29">
        <f>'Fluxo de pagamentos'!K22</f>
        <v>28762280.73</v>
      </c>
      <c r="F4" s="29">
        <f>'Fluxo de pagamentos'!L22</f>
        <v>0</v>
      </c>
      <c r="G4" s="29">
        <f>'Fluxo de pagamentos'!M22</f>
        <v>0</v>
      </c>
      <c r="H4" s="29">
        <f>'Fluxo de pagamentos'!N22</f>
        <v>0</v>
      </c>
      <c r="I4" s="29">
        <f>'Fluxo de pagamentos'!O22</f>
        <v>0</v>
      </c>
      <c r="J4" s="29">
        <f>'Fluxo de pagamentos'!P22</f>
        <v>0</v>
      </c>
      <c r="K4" s="29">
        <f>'Fluxo de pagamentos'!Q22</f>
        <v>0</v>
      </c>
      <c r="L4" s="29">
        <f>'Fluxo de pagamentos'!R22</f>
        <v>0</v>
      </c>
      <c r="M4" s="29">
        <f>'Fluxo de pagamentos'!S22</f>
        <v>0</v>
      </c>
      <c r="N4" s="29">
        <f>'Fluxo de pagamentos'!T22</f>
        <v>0</v>
      </c>
      <c r="O4" s="29">
        <f>'Fluxo de pagamentos'!U22</f>
        <v>0</v>
      </c>
      <c r="P4" s="29">
        <f>'Fluxo de pagamentos'!V22</f>
        <v>0</v>
      </c>
      <c r="Q4" s="29">
        <f>'Fluxo de pagamentos'!W22</f>
        <v>0</v>
      </c>
      <c r="R4" s="29">
        <f>'Fluxo de pagamentos'!X22</f>
        <v>0</v>
      </c>
      <c r="S4" s="29">
        <f>'Fluxo de pagamentos'!Y22</f>
        <v>0</v>
      </c>
      <c r="T4" s="29">
        <f>'Fluxo de pagamentos'!Z22</f>
        <v>0</v>
      </c>
      <c r="U4" s="29">
        <f>'Fluxo de pagamentos'!AA22</f>
        <v>0</v>
      </c>
      <c r="V4" s="29">
        <f>'Fluxo de pagamentos'!AB22</f>
        <v>0</v>
      </c>
      <c r="W4" s="29">
        <f>'Fluxo de pagamentos'!AC22</f>
        <v>0</v>
      </c>
      <c r="X4" s="29">
        <f>'Fluxo de pagamentos'!AD22</f>
        <v>0</v>
      </c>
      <c r="Y4" s="29">
        <f>'Fluxo de pagamentos'!AE22</f>
        <v>0</v>
      </c>
      <c r="Z4" s="29">
        <f>'Fluxo de pagamentos'!AF22</f>
        <v>0</v>
      </c>
      <c r="AA4" s="29">
        <f>'Fluxo de pagamentos'!AG22</f>
        <v>0</v>
      </c>
      <c r="AB4" s="29">
        <f>'Fluxo de pagamentos'!AH22</f>
        <v>0</v>
      </c>
      <c r="AC4" s="29">
        <f>'Fluxo de pagamentos'!AI22</f>
        <v>0</v>
      </c>
      <c r="AD4" s="29">
        <f>'Fluxo de pagamentos'!AJ22</f>
        <v>0</v>
      </c>
      <c r="AE4" s="29">
        <f>'Fluxo de pagamentos'!AK22</f>
        <v>0</v>
      </c>
      <c r="AF4" s="29">
        <f>'Fluxo de pagamentos'!AL22</f>
        <v>0</v>
      </c>
      <c r="AG4" s="29">
        <f>'Fluxo de pagamentos'!AM22</f>
        <v>0</v>
      </c>
      <c r="AH4" s="29">
        <f>'Fluxo de pagamentos'!AN22</f>
        <v>0</v>
      </c>
      <c r="AI4" s="29">
        <f>'Fluxo de pagamentos'!AO22</f>
        <v>0</v>
      </c>
      <c r="AJ4" s="29">
        <f>'Fluxo de pagamentos'!AP22</f>
        <v>0</v>
      </c>
      <c r="AK4" s="29">
        <f>'Fluxo de pagamentos'!AQ22</f>
        <v>0</v>
      </c>
      <c r="AL4" s="29">
        <f>'Fluxo de pagamentos'!AR22</f>
        <v>0</v>
      </c>
      <c r="AM4" s="29">
        <f>'Fluxo de pagamentos'!AS22</f>
        <v>0</v>
      </c>
      <c r="AN4" s="29">
        <f>'Fluxo de pagamentos'!AT22</f>
        <v>0</v>
      </c>
      <c r="AO4" s="29">
        <f>'Fluxo de pagamentos'!AU22</f>
        <v>0</v>
      </c>
      <c r="AP4" s="29">
        <f>'Fluxo de pagamentos'!AV22</f>
        <v>0</v>
      </c>
      <c r="AQ4" s="29">
        <f>'Fluxo de pagamentos'!AW22</f>
        <v>0</v>
      </c>
      <c r="AR4" s="29">
        <f>'Fluxo de pagamentos'!AX22</f>
        <v>0</v>
      </c>
      <c r="AS4" s="29">
        <f>'Fluxo de pagamentos'!AY22</f>
        <v>0</v>
      </c>
      <c r="AT4" s="29">
        <f>'Fluxo de pagamentos'!AZ22</f>
        <v>0</v>
      </c>
      <c r="AU4" s="29">
        <f>'Fluxo de pagamentos'!BA22</f>
        <v>0</v>
      </c>
      <c r="AV4" s="29">
        <f>'Fluxo de pagamentos'!BB22</f>
        <v>0</v>
      </c>
      <c r="AW4" s="29">
        <f>'Fluxo de pagamentos'!BC22</f>
        <v>0</v>
      </c>
      <c r="AX4" s="29">
        <f>'Fluxo de pagamentos'!BD22</f>
        <v>0</v>
      </c>
      <c r="AY4" s="29">
        <f>'Fluxo de pagamentos'!BE22</f>
        <v>0</v>
      </c>
      <c r="AZ4" s="29">
        <f>'Fluxo de pagamentos'!BF22</f>
        <v>0</v>
      </c>
      <c r="BA4" s="29">
        <f>'Fluxo de pagamentos'!BG22</f>
        <v>0</v>
      </c>
      <c r="BB4" s="30">
        <f>SUM(E4:BA4)</f>
        <v>28762280.73</v>
      </c>
    </row>
    <row r="5" spans="1:82" x14ac:dyDescent="0.2">
      <c r="A5" s="39" t="str">
        <f>'Fluxo de pagamentos'!C26</f>
        <v>FTTx - Portas Iluminadas</v>
      </c>
      <c r="B5" s="39" t="s">
        <v>86</v>
      </c>
      <c r="C5" s="39" t="s">
        <v>48</v>
      </c>
      <c r="D5" s="40">
        <f>'Fluxo de pagamentos'!J26</f>
        <v>11239020</v>
      </c>
      <c r="E5" s="29">
        <f>'Fluxo de pagamentos'!K26</f>
        <v>0</v>
      </c>
      <c r="F5" s="29">
        <f>'Fluxo de pagamentos'!L26</f>
        <v>0</v>
      </c>
      <c r="G5" s="29">
        <f>'Fluxo de pagamentos'!M26</f>
        <v>0</v>
      </c>
      <c r="H5" s="29">
        <f>'Fluxo de pagamentos'!N26</f>
        <v>2809755</v>
      </c>
      <c r="I5" s="29">
        <f>'Fluxo de pagamentos'!O26</f>
        <v>0</v>
      </c>
      <c r="J5" s="29">
        <f>'Fluxo de pagamentos'!P26</f>
        <v>0</v>
      </c>
      <c r="K5" s="29">
        <f>'Fluxo de pagamentos'!Q26</f>
        <v>2809755</v>
      </c>
      <c r="L5" s="29">
        <f>'Fluxo de pagamentos'!R26</f>
        <v>0</v>
      </c>
      <c r="M5" s="29">
        <f>'Fluxo de pagamentos'!S26</f>
        <v>0</v>
      </c>
      <c r="N5" s="29">
        <f>'Fluxo de pagamentos'!T26</f>
        <v>2809755</v>
      </c>
      <c r="O5" s="29">
        <f>'Fluxo de pagamentos'!U26</f>
        <v>0</v>
      </c>
      <c r="P5" s="29">
        <f>'Fluxo de pagamentos'!V26</f>
        <v>0</v>
      </c>
      <c r="Q5" s="29">
        <f>'Fluxo de pagamentos'!W26</f>
        <v>2809755</v>
      </c>
      <c r="R5" s="29">
        <f>'Fluxo de pagamentos'!X26</f>
        <v>0</v>
      </c>
      <c r="S5" s="29">
        <f>'Fluxo de pagamentos'!Y26</f>
        <v>0</v>
      </c>
      <c r="T5" s="29">
        <f>'Fluxo de pagamentos'!Z26</f>
        <v>0</v>
      </c>
      <c r="U5" s="29">
        <f>'Fluxo de pagamentos'!AA26</f>
        <v>0</v>
      </c>
      <c r="V5" s="29">
        <f>'Fluxo de pagamentos'!AB26</f>
        <v>0</v>
      </c>
      <c r="W5" s="29">
        <f>'Fluxo de pagamentos'!AC26</f>
        <v>0</v>
      </c>
      <c r="X5" s="29">
        <f>'Fluxo de pagamentos'!AD26</f>
        <v>0</v>
      </c>
      <c r="Y5" s="29">
        <f>'Fluxo de pagamentos'!AE26</f>
        <v>0</v>
      </c>
      <c r="Z5" s="29">
        <f>'Fluxo de pagamentos'!AF26</f>
        <v>0</v>
      </c>
      <c r="AA5" s="29">
        <f>'Fluxo de pagamentos'!AG26</f>
        <v>0</v>
      </c>
      <c r="AB5" s="29">
        <f>'Fluxo de pagamentos'!AH26</f>
        <v>0</v>
      </c>
      <c r="AC5" s="29">
        <f>'Fluxo de pagamentos'!AI26</f>
        <v>0</v>
      </c>
      <c r="AD5" s="29">
        <f>'Fluxo de pagamentos'!AJ26</f>
        <v>0</v>
      </c>
      <c r="AE5" s="29">
        <f>'Fluxo de pagamentos'!AK26</f>
        <v>0</v>
      </c>
      <c r="AF5" s="29">
        <f>'Fluxo de pagamentos'!AL26</f>
        <v>0</v>
      </c>
      <c r="AG5" s="29">
        <f>'Fluxo de pagamentos'!AM26</f>
        <v>0</v>
      </c>
      <c r="AH5" s="29">
        <f>'Fluxo de pagamentos'!AN26</f>
        <v>0</v>
      </c>
      <c r="AI5" s="29">
        <f>'Fluxo de pagamentos'!AO26</f>
        <v>0</v>
      </c>
      <c r="AJ5" s="29">
        <f>'Fluxo de pagamentos'!AP26</f>
        <v>0</v>
      </c>
      <c r="AK5" s="29">
        <f>'Fluxo de pagamentos'!AQ26</f>
        <v>0</v>
      </c>
      <c r="AL5" s="29">
        <f>'Fluxo de pagamentos'!AR26</f>
        <v>0</v>
      </c>
      <c r="AM5" s="29">
        <f>'Fluxo de pagamentos'!AS26</f>
        <v>0</v>
      </c>
      <c r="AN5" s="29">
        <f>'Fluxo de pagamentos'!AT26</f>
        <v>0</v>
      </c>
      <c r="AO5" s="29">
        <f>'Fluxo de pagamentos'!AU26</f>
        <v>0</v>
      </c>
      <c r="AP5" s="29">
        <f>'Fluxo de pagamentos'!AV26</f>
        <v>0</v>
      </c>
      <c r="AQ5" s="29">
        <f>'Fluxo de pagamentos'!AW26</f>
        <v>0</v>
      </c>
      <c r="AR5" s="29">
        <f>'Fluxo de pagamentos'!AX26</f>
        <v>0</v>
      </c>
      <c r="AS5" s="29">
        <f>'Fluxo de pagamentos'!AY26</f>
        <v>0</v>
      </c>
      <c r="AT5" s="29">
        <f>'Fluxo de pagamentos'!AZ26</f>
        <v>0</v>
      </c>
      <c r="AU5" s="29">
        <f>'Fluxo de pagamentos'!BA26</f>
        <v>0</v>
      </c>
      <c r="AV5" s="29">
        <f>'Fluxo de pagamentos'!BB26</f>
        <v>0</v>
      </c>
      <c r="AW5" s="29">
        <f>'Fluxo de pagamentos'!BC26</f>
        <v>0</v>
      </c>
      <c r="AX5" s="29">
        <f>'Fluxo de pagamentos'!BD26</f>
        <v>0</v>
      </c>
      <c r="AY5" s="29">
        <f>'Fluxo de pagamentos'!BE26</f>
        <v>0</v>
      </c>
      <c r="AZ5" s="29">
        <f>'Fluxo de pagamentos'!BF26</f>
        <v>0</v>
      </c>
      <c r="BA5" s="29">
        <f>'Fluxo de pagamentos'!BG26</f>
        <v>0</v>
      </c>
      <c r="BB5" s="30">
        <f>SUM(E5:BA5)</f>
        <v>11239020</v>
      </c>
    </row>
    <row r="6" spans="1:82" x14ac:dyDescent="0.2">
      <c r="A6" s="39" t="str">
        <f>'Fluxo de pagamentos'!C27</f>
        <v>Setup</v>
      </c>
      <c r="B6" s="39" t="s">
        <v>85</v>
      </c>
      <c r="C6" s="39" t="s">
        <v>51</v>
      </c>
      <c r="D6" s="40">
        <f>'Fluxo de pagamentos'!J27</f>
        <v>44560980.313019089</v>
      </c>
      <c r="E6" s="29">
        <f>'Fluxo de pagamentos'!K27</f>
        <v>21432792.093905725</v>
      </c>
      <c r="F6" s="29">
        <f>'Fluxo de pagamentos'!L27</f>
        <v>0</v>
      </c>
      <c r="G6" s="29">
        <f>'Fluxo de pagamentos'!M27</f>
        <v>0</v>
      </c>
      <c r="H6" s="29">
        <f>'Fluxo de pagamentos'!N27</f>
        <v>957296.49000000022</v>
      </c>
      <c r="I6" s="29">
        <f>'Fluxo de pagamentos'!O27</f>
        <v>0</v>
      </c>
      <c r="J6" s="29">
        <f>'Fluxo de pagamentos'!P27</f>
        <v>0</v>
      </c>
      <c r="K6" s="29">
        <f>'Fluxo de pagamentos'!Q27</f>
        <v>806077.51999999955</v>
      </c>
      <c r="L6" s="29">
        <f>'Fluxo de pagamentos'!R27</f>
        <v>0</v>
      </c>
      <c r="M6" s="29">
        <f>'Fluxo de pagamentos'!S27</f>
        <v>0</v>
      </c>
      <c r="N6" s="29">
        <f>'Fluxo de pagamentos'!T27</f>
        <v>1074859.7000000002</v>
      </c>
      <c r="O6" s="29">
        <f>'Fluxo de pagamentos'!U27</f>
        <v>0</v>
      </c>
      <c r="P6" s="29">
        <f>'Fluxo de pagamentos'!V27</f>
        <v>0</v>
      </c>
      <c r="Q6" s="29">
        <f>'Fluxo de pagamentos'!W27</f>
        <v>1964872.5699999994</v>
      </c>
      <c r="R6" s="29">
        <f>'Fluxo de pagamentos'!X27</f>
        <v>0</v>
      </c>
      <c r="S6" s="29">
        <f>'Fluxo de pagamentos'!Y27</f>
        <v>0</v>
      </c>
      <c r="T6" s="29">
        <f>'Fluxo de pagamentos'!Z27</f>
        <v>0</v>
      </c>
      <c r="U6" s="29">
        <f>'Fluxo de pagamentos'!AA27</f>
        <v>0</v>
      </c>
      <c r="V6" s="29">
        <f>'Fluxo de pagamentos'!AB27</f>
        <v>0</v>
      </c>
      <c r="W6" s="29">
        <f>'Fluxo de pagamentos'!AC27</f>
        <v>0</v>
      </c>
      <c r="X6" s="29">
        <f>'Fluxo de pagamentos'!AD27</f>
        <v>0</v>
      </c>
      <c r="Y6" s="29">
        <f>'Fluxo de pagamentos'!AE27</f>
        <v>0</v>
      </c>
      <c r="Z6" s="29">
        <f>'Fluxo de pagamentos'!AF27</f>
        <v>0</v>
      </c>
      <c r="AA6" s="29">
        <f>'Fluxo de pagamentos'!AG27</f>
        <v>0</v>
      </c>
      <c r="AB6" s="29">
        <f>'Fluxo de pagamentos'!AH27</f>
        <v>0</v>
      </c>
      <c r="AC6" s="29">
        <f>'Fluxo de pagamentos'!AI27</f>
        <v>18325081.939113364</v>
      </c>
      <c r="AD6" s="29">
        <f>'Fluxo de pagamentos'!AJ27</f>
        <v>0</v>
      </c>
      <c r="AE6" s="29">
        <f>'Fluxo de pagamentos'!AK27</f>
        <v>0</v>
      </c>
      <c r="AF6" s="29">
        <f>'Fluxo de pagamentos'!AL27</f>
        <v>0</v>
      </c>
      <c r="AG6" s="29">
        <f>'Fluxo de pagamentos'!AM27</f>
        <v>0</v>
      </c>
      <c r="AH6" s="29">
        <f>'Fluxo de pagamentos'!AN27</f>
        <v>0</v>
      </c>
      <c r="AI6" s="29">
        <f>'Fluxo de pagamentos'!AO27</f>
        <v>0</v>
      </c>
      <c r="AJ6" s="29">
        <f>'Fluxo de pagamentos'!AP27</f>
        <v>0</v>
      </c>
      <c r="AK6" s="29">
        <f>'Fluxo de pagamentos'!AQ27</f>
        <v>0</v>
      </c>
      <c r="AL6" s="29">
        <f>'Fluxo de pagamentos'!AR27</f>
        <v>0</v>
      </c>
      <c r="AM6" s="29">
        <f>'Fluxo de pagamentos'!AS27</f>
        <v>0</v>
      </c>
      <c r="AN6" s="29">
        <f>'Fluxo de pagamentos'!AT27</f>
        <v>0</v>
      </c>
      <c r="AO6" s="29">
        <f>'Fluxo de pagamentos'!AU27</f>
        <v>0</v>
      </c>
      <c r="AP6" s="29">
        <f>'Fluxo de pagamentos'!AV27</f>
        <v>0</v>
      </c>
      <c r="AQ6" s="29">
        <f>'Fluxo de pagamentos'!AW27</f>
        <v>0</v>
      </c>
      <c r="AR6" s="29">
        <f>'Fluxo de pagamentos'!AX27</f>
        <v>0</v>
      </c>
      <c r="AS6" s="29">
        <f>'Fluxo de pagamentos'!AY27</f>
        <v>0</v>
      </c>
      <c r="AT6" s="29">
        <f>'Fluxo de pagamentos'!AZ27</f>
        <v>0</v>
      </c>
      <c r="AU6" s="29">
        <f>'Fluxo de pagamentos'!BA27</f>
        <v>0</v>
      </c>
      <c r="AV6" s="29">
        <f>'Fluxo de pagamentos'!BB27</f>
        <v>0</v>
      </c>
      <c r="AW6" s="29">
        <f>'Fluxo de pagamentos'!BC27</f>
        <v>0</v>
      </c>
      <c r="AX6" s="29">
        <f>'Fluxo de pagamentos'!BD27</f>
        <v>0</v>
      </c>
      <c r="AY6" s="29">
        <f>'Fluxo de pagamentos'!BE27</f>
        <v>0</v>
      </c>
      <c r="AZ6" s="29">
        <f>'Fluxo de pagamentos'!BF27</f>
        <v>0</v>
      </c>
      <c r="BA6" s="29">
        <f>'Fluxo de pagamentos'!BG27</f>
        <v>0</v>
      </c>
      <c r="BB6" s="30">
        <f>SUM(E6:BA6)</f>
        <v>44560980.313019089</v>
      </c>
    </row>
    <row r="7" spans="1:82" x14ac:dyDescent="0.2">
      <c r="A7" s="39" t="str">
        <f>'Fluxo de pagamentos'!C28</f>
        <v>Serviço Suporte N3</v>
      </c>
      <c r="B7" s="39" t="s">
        <v>85</v>
      </c>
      <c r="C7" s="39" t="s">
        <v>51</v>
      </c>
      <c r="D7" s="40">
        <f>'Fluxo de pagamentos'!J28</f>
        <v>3242640</v>
      </c>
      <c r="E7" s="29">
        <f>'Fluxo de pagamentos'!K28</f>
        <v>0</v>
      </c>
      <c r="F7" s="29">
        <f>'Fluxo de pagamentos'!L28</f>
        <v>0</v>
      </c>
      <c r="G7" s="29">
        <f>'Fluxo de pagamentos'!M28</f>
        <v>0</v>
      </c>
      <c r="H7" s="29">
        <f>'Fluxo de pagamentos'!N28</f>
        <v>810660</v>
      </c>
      <c r="I7" s="29">
        <f>'Fluxo de pagamentos'!O28</f>
        <v>0</v>
      </c>
      <c r="J7" s="29">
        <f>'Fluxo de pagamentos'!P28</f>
        <v>0</v>
      </c>
      <c r="K7" s="29">
        <f>'Fluxo de pagamentos'!Q28</f>
        <v>810660</v>
      </c>
      <c r="L7" s="29">
        <f>'Fluxo de pagamentos'!R28</f>
        <v>0</v>
      </c>
      <c r="M7" s="29">
        <f>'Fluxo de pagamentos'!S28</f>
        <v>0</v>
      </c>
      <c r="N7" s="29">
        <f>'Fluxo de pagamentos'!T28</f>
        <v>810660</v>
      </c>
      <c r="O7" s="29">
        <f>'Fluxo de pagamentos'!U28</f>
        <v>0</v>
      </c>
      <c r="P7" s="29">
        <f>'Fluxo de pagamentos'!V28</f>
        <v>0</v>
      </c>
      <c r="Q7" s="29">
        <f>'Fluxo de pagamentos'!W28</f>
        <v>810660</v>
      </c>
      <c r="R7" s="29">
        <f>'Fluxo de pagamentos'!X28</f>
        <v>0</v>
      </c>
      <c r="S7" s="29">
        <f>'Fluxo de pagamentos'!Y28</f>
        <v>0</v>
      </c>
      <c r="T7" s="29">
        <f>'Fluxo de pagamentos'!Z28</f>
        <v>0</v>
      </c>
      <c r="U7" s="29">
        <f>'Fluxo de pagamentos'!AA28</f>
        <v>0</v>
      </c>
      <c r="V7" s="29">
        <f>'Fluxo de pagamentos'!AB28</f>
        <v>0</v>
      </c>
      <c r="W7" s="29">
        <f>'Fluxo de pagamentos'!AC28</f>
        <v>0</v>
      </c>
      <c r="X7" s="29">
        <f>'Fluxo de pagamentos'!AD28</f>
        <v>0</v>
      </c>
      <c r="Y7" s="29">
        <f>'Fluxo de pagamentos'!AE28</f>
        <v>0</v>
      </c>
      <c r="Z7" s="29">
        <f>'Fluxo de pagamentos'!AF28</f>
        <v>0</v>
      </c>
      <c r="AA7" s="29">
        <f>'Fluxo de pagamentos'!AG28</f>
        <v>0</v>
      </c>
      <c r="AB7" s="29">
        <f>'Fluxo de pagamentos'!AH28</f>
        <v>0</v>
      </c>
      <c r="AC7" s="29">
        <f>'Fluxo de pagamentos'!AI28</f>
        <v>0</v>
      </c>
      <c r="AD7" s="29">
        <f>'Fluxo de pagamentos'!AJ28</f>
        <v>0</v>
      </c>
      <c r="AE7" s="29">
        <f>'Fluxo de pagamentos'!AK28</f>
        <v>0</v>
      </c>
      <c r="AF7" s="29">
        <f>'Fluxo de pagamentos'!AL28</f>
        <v>0</v>
      </c>
      <c r="AG7" s="29">
        <f>'Fluxo de pagamentos'!AM28</f>
        <v>0</v>
      </c>
      <c r="AH7" s="29">
        <f>'Fluxo de pagamentos'!AN28</f>
        <v>0</v>
      </c>
      <c r="AI7" s="29">
        <f>'Fluxo de pagamentos'!AO28</f>
        <v>0</v>
      </c>
      <c r="AJ7" s="29">
        <f>'Fluxo de pagamentos'!AP28</f>
        <v>0</v>
      </c>
      <c r="AK7" s="29">
        <f>'Fluxo de pagamentos'!AQ28</f>
        <v>0</v>
      </c>
      <c r="AL7" s="29">
        <f>'Fluxo de pagamentos'!AR28</f>
        <v>0</v>
      </c>
      <c r="AM7" s="29">
        <f>'Fluxo de pagamentos'!AS28</f>
        <v>0</v>
      </c>
      <c r="AN7" s="29">
        <f>'Fluxo de pagamentos'!AT28</f>
        <v>0</v>
      </c>
      <c r="AO7" s="29">
        <f>'Fluxo de pagamentos'!AU28</f>
        <v>0</v>
      </c>
      <c r="AP7" s="29">
        <f>'Fluxo de pagamentos'!AV28</f>
        <v>0</v>
      </c>
      <c r="AQ7" s="29">
        <f>'Fluxo de pagamentos'!AW28</f>
        <v>0</v>
      </c>
      <c r="AR7" s="29">
        <f>'Fluxo de pagamentos'!AX28</f>
        <v>0</v>
      </c>
      <c r="AS7" s="29">
        <f>'Fluxo de pagamentos'!AY28</f>
        <v>0</v>
      </c>
      <c r="AT7" s="29">
        <f>'Fluxo de pagamentos'!AZ28</f>
        <v>0</v>
      </c>
      <c r="AU7" s="29">
        <f>'Fluxo de pagamentos'!BA28</f>
        <v>0</v>
      </c>
      <c r="AV7" s="29">
        <f>'Fluxo de pagamentos'!BB28</f>
        <v>0</v>
      </c>
      <c r="AW7" s="29">
        <f>'Fluxo de pagamentos'!BC28</f>
        <v>0</v>
      </c>
      <c r="AX7" s="29">
        <f>'Fluxo de pagamentos'!BD28</f>
        <v>0</v>
      </c>
      <c r="AY7" s="29">
        <f>'Fluxo de pagamentos'!BE28</f>
        <v>0</v>
      </c>
      <c r="AZ7" s="29">
        <f>'Fluxo de pagamentos'!BF28</f>
        <v>0</v>
      </c>
      <c r="BA7" s="29">
        <f>'Fluxo de pagamentos'!BG28</f>
        <v>0</v>
      </c>
      <c r="BB7" s="30">
        <f>SUM(E7:BA7)</f>
        <v>3242640</v>
      </c>
    </row>
    <row r="8" spans="1:82" x14ac:dyDescent="0.2">
      <c r="A8" s="39" t="s">
        <v>84</v>
      </c>
      <c r="B8" s="39"/>
      <c r="C8" s="39"/>
      <c r="D8" s="40">
        <f t="shared" ref="D8:AI8" si="0">SUM(D5:D7)</f>
        <v>59042640.313019089</v>
      </c>
      <c r="E8" s="29">
        <f t="shared" si="0"/>
        <v>21432792.093905725</v>
      </c>
      <c r="F8" s="29">
        <f t="shared" si="0"/>
        <v>0</v>
      </c>
      <c r="G8" s="29">
        <f t="shared" si="0"/>
        <v>0</v>
      </c>
      <c r="H8" s="29">
        <f t="shared" si="0"/>
        <v>4577711.49</v>
      </c>
      <c r="I8" s="29">
        <f t="shared" si="0"/>
        <v>0</v>
      </c>
      <c r="J8" s="29">
        <f t="shared" si="0"/>
        <v>0</v>
      </c>
      <c r="K8" s="29">
        <f t="shared" si="0"/>
        <v>4426492.5199999996</v>
      </c>
      <c r="L8" s="29">
        <f t="shared" si="0"/>
        <v>0</v>
      </c>
      <c r="M8" s="29">
        <f t="shared" si="0"/>
        <v>0</v>
      </c>
      <c r="N8" s="29">
        <f t="shared" si="0"/>
        <v>4695274.7</v>
      </c>
      <c r="O8" s="29">
        <f t="shared" si="0"/>
        <v>0</v>
      </c>
      <c r="P8" s="29">
        <f t="shared" si="0"/>
        <v>0</v>
      </c>
      <c r="Q8" s="29">
        <f t="shared" si="0"/>
        <v>5585287.5699999994</v>
      </c>
      <c r="R8" s="29">
        <f t="shared" si="0"/>
        <v>0</v>
      </c>
      <c r="S8" s="29">
        <f t="shared" si="0"/>
        <v>0</v>
      </c>
      <c r="T8" s="29">
        <f t="shared" si="0"/>
        <v>0</v>
      </c>
      <c r="U8" s="29">
        <f t="shared" si="0"/>
        <v>0</v>
      </c>
      <c r="V8" s="29">
        <f t="shared" si="0"/>
        <v>0</v>
      </c>
      <c r="W8" s="29">
        <f t="shared" si="0"/>
        <v>0</v>
      </c>
      <c r="X8" s="29">
        <f t="shared" si="0"/>
        <v>0</v>
      </c>
      <c r="Y8" s="29">
        <f t="shared" si="0"/>
        <v>0</v>
      </c>
      <c r="Z8" s="29">
        <f t="shared" si="0"/>
        <v>0</v>
      </c>
      <c r="AA8" s="29">
        <f t="shared" si="0"/>
        <v>0</v>
      </c>
      <c r="AB8" s="29">
        <f t="shared" si="0"/>
        <v>0</v>
      </c>
      <c r="AC8" s="29">
        <f t="shared" si="0"/>
        <v>18325081.939113364</v>
      </c>
      <c r="AD8" s="29">
        <f t="shared" si="0"/>
        <v>0</v>
      </c>
      <c r="AE8" s="29">
        <f t="shared" si="0"/>
        <v>0</v>
      </c>
      <c r="AF8" s="29">
        <f t="shared" si="0"/>
        <v>0</v>
      </c>
      <c r="AG8" s="29">
        <f t="shared" si="0"/>
        <v>0</v>
      </c>
      <c r="AH8" s="29">
        <f t="shared" si="0"/>
        <v>0</v>
      </c>
      <c r="AI8" s="29">
        <f t="shared" si="0"/>
        <v>0</v>
      </c>
      <c r="AJ8" s="29">
        <f t="shared" ref="AJ8:BO8" si="1">SUM(AJ5:AJ7)</f>
        <v>0</v>
      </c>
      <c r="AK8" s="29">
        <f t="shared" si="1"/>
        <v>0</v>
      </c>
      <c r="AL8" s="29">
        <f t="shared" si="1"/>
        <v>0</v>
      </c>
      <c r="AM8" s="29">
        <f t="shared" si="1"/>
        <v>0</v>
      </c>
      <c r="AN8" s="29">
        <f t="shared" si="1"/>
        <v>0</v>
      </c>
      <c r="AO8" s="29">
        <f t="shared" si="1"/>
        <v>0</v>
      </c>
      <c r="AP8" s="29">
        <f t="shared" si="1"/>
        <v>0</v>
      </c>
      <c r="AQ8" s="29">
        <f t="shared" si="1"/>
        <v>0</v>
      </c>
      <c r="AR8" s="29">
        <f t="shared" si="1"/>
        <v>0</v>
      </c>
      <c r="AS8" s="29">
        <f t="shared" si="1"/>
        <v>0</v>
      </c>
      <c r="AT8" s="29">
        <f t="shared" si="1"/>
        <v>0</v>
      </c>
      <c r="AU8" s="29">
        <f t="shared" si="1"/>
        <v>0</v>
      </c>
      <c r="AV8" s="29">
        <f t="shared" si="1"/>
        <v>0</v>
      </c>
      <c r="AW8" s="29">
        <f t="shared" si="1"/>
        <v>0</v>
      </c>
      <c r="AX8" s="29">
        <f t="shared" si="1"/>
        <v>0</v>
      </c>
      <c r="AY8" s="29">
        <f t="shared" si="1"/>
        <v>0</v>
      </c>
      <c r="AZ8" s="29">
        <f t="shared" si="1"/>
        <v>0</v>
      </c>
      <c r="BA8" s="29">
        <f t="shared" si="1"/>
        <v>0</v>
      </c>
      <c r="BB8" s="29">
        <f t="shared" si="1"/>
        <v>59042640.313019089</v>
      </c>
    </row>
    <row r="9" spans="1:82" x14ac:dyDescent="0.2">
      <c r="A9" s="39" t="s">
        <v>77</v>
      </c>
      <c r="B9" s="39"/>
      <c r="C9" s="39"/>
      <c r="D9" s="40">
        <f t="shared" ref="D9:AI9" si="2">SUM(D3:D7)</f>
        <v>165300000</v>
      </c>
      <c r="E9" s="29">
        <f t="shared" si="2"/>
        <v>66119999.999999993</v>
      </c>
      <c r="F9" s="29">
        <f t="shared" si="2"/>
        <v>0</v>
      </c>
      <c r="G9" s="29">
        <f t="shared" si="2"/>
        <v>772015.09</v>
      </c>
      <c r="H9" s="29">
        <f t="shared" si="2"/>
        <v>5429734.9100000001</v>
      </c>
      <c r="I9" s="29">
        <f t="shared" si="2"/>
        <v>772015.09</v>
      </c>
      <c r="J9" s="29">
        <f t="shared" si="2"/>
        <v>540113.11</v>
      </c>
      <c r="K9" s="29">
        <f t="shared" si="2"/>
        <v>4886621.7999999989</v>
      </c>
      <c r="L9" s="29">
        <f t="shared" si="2"/>
        <v>537811.52</v>
      </c>
      <c r="M9" s="29">
        <f t="shared" si="2"/>
        <v>443632.36</v>
      </c>
      <c r="N9" s="29">
        <f t="shared" si="2"/>
        <v>5217306.12</v>
      </c>
      <c r="O9" s="29">
        <f t="shared" si="2"/>
        <v>204484.7</v>
      </c>
      <c r="P9" s="29">
        <f t="shared" si="2"/>
        <v>204493.03</v>
      </c>
      <c r="Q9" s="29">
        <f t="shared" si="2"/>
        <v>5789772.2699999996</v>
      </c>
      <c r="R9" s="29">
        <f t="shared" si="2"/>
        <v>204493.03</v>
      </c>
      <c r="S9" s="29">
        <f t="shared" si="2"/>
        <v>201801.96</v>
      </c>
      <c r="T9" s="29">
        <f t="shared" si="2"/>
        <v>201810.33</v>
      </c>
      <c r="U9" s="29">
        <f t="shared" si="2"/>
        <v>85143.59</v>
      </c>
      <c r="V9" s="29">
        <f t="shared" si="2"/>
        <v>85143.59</v>
      </c>
      <c r="W9" s="29">
        <f t="shared" si="2"/>
        <v>82669.48000000001</v>
      </c>
      <c r="X9" s="29">
        <f t="shared" si="2"/>
        <v>80301.69</v>
      </c>
      <c r="Y9" s="29">
        <f t="shared" si="2"/>
        <v>80301.69</v>
      </c>
      <c r="Z9" s="29">
        <f t="shared" si="2"/>
        <v>80301.69</v>
      </c>
      <c r="AA9" s="29">
        <f t="shared" si="2"/>
        <v>0</v>
      </c>
      <c r="AB9" s="29">
        <f t="shared" si="2"/>
        <v>0</v>
      </c>
      <c r="AC9" s="29">
        <f t="shared" si="2"/>
        <v>23690032.950000003</v>
      </c>
      <c r="AD9" s="29">
        <f t="shared" si="2"/>
        <v>0</v>
      </c>
      <c r="AE9" s="29">
        <f t="shared" si="2"/>
        <v>0</v>
      </c>
      <c r="AF9" s="29">
        <f t="shared" si="2"/>
        <v>0</v>
      </c>
      <c r="AG9" s="29">
        <f t="shared" si="2"/>
        <v>0</v>
      </c>
      <c r="AH9" s="29">
        <f t="shared" si="2"/>
        <v>0</v>
      </c>
      <c r="AI9" s="29">
        <f t="shared" si="2"/>
        <v>0</v>
      </c>
      <c r="AJ9" s="29">
        <f t="shared" ref="AJ9:BA9" si="3">SUM(AJ3:AJ7)</f>
        <v>0</v>
      </c>
      <c r="AK9" s="29">
        <f t="shared" si="3"/>
        <v>0</v>
      </c>
      <c r="AL9" s="29">
        <f t="shared" si="3"/>
        <v>0</v>
      </c>
      <c r="AM9" s="29">
        <f t="shared" si="3"/>
        <v>0</v>
      </c>
      <c r="AN9" s="29">
        <f t="shared" si="3"/>
        <v>0</v>
      </c>
      <c r="AO9" s="29">
        <f t="shared" si="3"/>
        <v>24795000</v>
      </c>
      <c r="AP9" s="29">
        <f t="shared" si="3"/>
        <v>0</v>
      </c>
      <c r="AQ9" s="29">
        <f t="shared" si="3"/>
        <v>0</v>
      </c>
      <c r="AR9" s="29">
        <f t="shared" si="3"/>
        <v>0</v>
      </c>
      <c r="AS9" s="29">
        <f t="shared" si="3"/>
        <v>0</v>
      </c>
      <c r="AT9" s="29">
        <f t="shared" si="3"/>
        <v>0</v>
      </c>
      <c r="AU9" s="29">
        <f t="shared" si="3"/>
        <v>0</v>
      </c>
      <c r="AV9" s="29">
        <f t="shared" si="3"/>
        <v>0</v>
      </c>
      <c r="AW9" s="29">
        <f t="shared" si="3"/>
        <v>0</v>
      </c>
      <c r="AX9" s="29">
        <f t="shared" si="3"/>
        <v>0</v>
      </c>
      <c r="AY9" s="29">
        <f t="shared" si="3"/>
        <v>0</v>
      </c>
      <c r="AZ9" s="29">
        <f t="shared" si="3"/>
        <v>0</v>
      </c>
      <c r="BA9" s="29">
        <f t="shared" si="3"/>
        <v>24795000</v>
      </c>
      <c r="BB9" s="30">
        <f>SUM(E9:BA9)</f>
        <v>165300000</v>
      </c>
    </row>
    <row r="10" spans="1:82" x14ac:dyDescent="0.2"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</row>
    <row r="11" spans="1:82" s="33" customFormat="1" ht="40" customHeight="1" x14ac:dyDescent="0.2">
      <c r="A11" s="31" t="s">
        <v>76</v>
      </c>
      <c r="B11" s="31"/>
      <c r="C11" s="31"/>
      <c r="D11" s="32"/>
      <c r="E11" s="34" t="s">
        <v>80</v>
      </c>
      <c r="F11" s="34" t="s">
        <v>80</v>
      </c>
      <c r="G11" s="34" t="s">
        <v>80</v>
      </c>
      <c r="H11" s="34" t="s">
        <v>80</v>
      </c>
      <c r="I11" s="34" t="s">
        <v>80</v>
      </c>
      <c r="J11" s="34" t="s">
        <v>80</v>
      </c>
      <c r="K11" s="34" t="s">
        <v>80</v>
      </c>
      <c r="L11" s="34" t="s">
        <v>80</v>
      </c>
      <c r="M11" s="34" t="s">
        <v>80</v>
      </c>
      <c r="N11" s="34" t="s">
        <v>80</v>
      </c>
      <c r="O11" s="34" t="s">
        <v>80</v>
      </c>
      <c r="P11" s="34" t="s">
        <v>80</v>
      </c>
      <c r="Q11" s="34" t="s">
        <v>80</v>
      </c>
      <c r="R11" s="34" t="s">
        <v>80</v>
      </c>
      <c r="S11" s="34" t="s">
        <v>80</v>
      </c>
      <c r="T11" s="34" t="s">
        <v>80</v>
      </c>
      <c r="U11" s="34" t="s">
        <v>80</v>
      </c>
      <c r="V11" s="34" t="s">
        <v>80</v>
      </c>
      <c r="W11" s="34" t="s">
        <v>80</v>
      </c>
      <c r="X11" s="34" t="s">
        <v>80</v>
      </c>
      <c r="Y11" s="34" t="s">
        <v>80</v>
      </c>
      <c r="Z11" s="34" t="s">
        <v>80</v>
      </c>
      <c r="AA11" s="34" t="s">
        <v>80</v>
      </c>
      <c r="AB11" s="34" t="s">
        <v>80</v>
      </c>
      <c r="AC11" s="34" t="s">
        <v>80</v>
      </c>
      <c r="AD11" s="34" t="s">
        <v>80</v>
      </c>
      <c r="AE11" s="34" t="s">
        <v>80</v>
      </c>
      <c r="AF11" s="34" t="s">
        <v>80</v>
      </c>
      <c r="AG11" s="34" t="s">
        <v>80</v>
      </c>
      <c r="AH11" s="34" t="s">
        <v>80</v>
      </c>
      <c r="AI11" s="34" t="s">
        <v>80</v>
      </c>
      <c r="AJ11" s="34" t="s">
        <v>80</v>
      </c>
      <c r="AK11" s="34" t="s">
        <v>80</v>
      </c>
      <c r="AL11" s="34" t="s">
        <v>80</v>
      </c>
      <c r="AM11" s="34" t="s">
        <v>80</v>
      </c>
      <c r="AN11" s="34" t="s">
        <v>80</v>
      </c>
      <c r="AO11" s="34" t="s">
        <v>80</v>
      </c>
      <c r="AP11" s="34" t="s">
        <v>80</v>
      </c>
      <c r="AQ11" s="34" t="s">
        <v>80</v>
      </c>
      <c r="AR11" s="34" t="s">
        <v>80</v>
      </c>
      <c r="AS11" s="34" t="s">
        <v>80</v>
      </c>
      <c r="AT11" s="34" t="s">
        <v>80</v>
      </c>
      <c r="AU11" s="34" t="s">
        <v>80</v>
      </c>
      <c r="AV11" s="34" t="s">
        <v>80</v>
      </c>
      <c r="AW11" s="34" t="s">
        <v>80</v>
      </c>
      <c r="AX11" s="34" t="s">
        <v>80</v>
      </c>
      <c r="AY11" s="34" t="s">
        <v>80</v>
      </c>
      <c r="AZ11" s="34" t="s">
        <v>80</v>
      </c>
      <c r="BA11" s="34" t="s">
        <v>80</v>
      </c>
      <c r="BB11" s="32"/>
    </row>
    <row r="12" spans="1:82" x14ac:dyDescent="0.2">
      <c r="D12" s="30"/>
      <c r="E12" s="28">
        <v>46230</v>
      </c>
      <c r="F12" s="28">
        <v>46244</v>
      </c>
      <c r="G12" s="28">
        <v>46275</v>
      </c>
      <c r="H12" s="28">
        <v>46305</v>
      </c>
      <c r="I12" s="28">
        <v>46336</v>
      </c>
      <c r="J12" s="28">
        <v>46366</v>
      </c>
      <c r="K12" s="28">
        <v>46397</v>
      </c>
      <c r="L12" s="28">
        <v>46428</v>
      </c>
      <c r="M12" s="28">
        <v>46456</v>
      </c>
      <c r="N12" s="28">
        <v>46487</v>
      </c>
      <c r="O12" s="28">
        <v>46517</v>
      </c>
      <c r="P12" s="28">
        <v>46548</v>
      </c>
      <c r="Q12" s="28">
        <v>46578</v>
      </c>
      <c r="R12" s="28">
        <v>46609</v>
      </c>
      <c r="S12" s="28">
        <v>46640</v>
      </c>
      <c r="T12" s="28">
        <v>46670</v>
      </c>
      <c r="U12" s="28">
        <v>46701</v>
      </c>
      <c r="V12" s="28">
        <v>46731</v>
      </c>
      <c r="W12" s="28">
        <v>46762</v>
      </c>
      <c r="X12" s="28">
        <v>46793</v>
      </c>
      <c r="Y12" s="28">
        <v>46822</v>
      </c>
      <c r="Z12" s="28">
        <v>46853</v>
      </c>
      <c r="AA12" s="28">
        <v>46883</v>
      </c>
      <c r="AB12" s="28">
        <v>46914</v>
      </c>
      <c r="AC12" s="28">
        <v>46944</v>
      </c>
      <c r="AD12" s="28">
        <v>46975</v>
      </c>
      <c r="AE12" s="28">
        <v>47006</v>
      </c>
      <c r="AF12" s="28">
        <v>47036</v>
      </c>
      <c r="AG12" s="28">
        <v>47067</v>
      </c>
      <c r="AH12" s="28">
        <v>47097</v>
      </c>
      <c r="AI12" s="28">
        <v>47128</v>
      </c>
      <c r="AJ12" s="28">
        <v>47159</v>
      </c>
      <c r="AK12" s="28">
        <v>47187</v>
      </c>
      <c r="AL12" s="28">
        <v>47218</v>
      </c>
      <c r="AM12" s="28">
        <v>47248</v>
      </c>
      <c r="AN12" s="28">
        <v>47279</v>
      </c>
      <c r="AO12" s="28">
        <v>47309</v>
      </c>
      <c r="AP12" s="28">
        <v>47340</v>
      </c>
      <c r="AQ12" s="28">
        <v>47371</v>
      </c>
      <c r="AR12" s="28">
        <v>47401</v>
      </c>
      <c r="AS12" s="28">
        <v>47432</v>
      </c>
      <c r="AT12" s="28">
        <v>47462</v>
      </c>
      <c r="AU12" s="28">
        <v>47493</v>
      </c>
      <c r="AV12" s="28">
        <v>47524</v>
      </c>
      <c r="AW12" s="28">
        <v>47552</v>
      </c>
      <c r="AX12" s="28">
        <v>47583</v>
      </c>
      <c r="AY12" s="28">
        <v>47613</v>
      </c>
      <c r="AZ12" s="28">
        <v>47644</v>
      </c>
      <c r="BA12" s="28">
        <v>47674</v>
      </c>
      <c r="BB12" s="28" t="s">
        <v>74</v>
      </c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  <c r="BW12" s="28"/>
      <c r="BX12" s="28"/>
      <c r="BY12" s="28"/>
      <c r="BZ12" s="28"/>
      <c r="CA12" s="28"/>
      <c r="CB12" s="28"/>
      <c r="CC12" s="28"/>
      <c r="CD12" s="28"/>
    </row>
    <row r="13" spans="1:82" s="33" customFormat="1" ht="32" x14ac:dyDescent="0.2">
      <c r="A13" s="31" t="s">
        <v>88</v>
      </c>
      <c r="B13" s="33" t="s">
        <v>81</v>
      </c>
      <c r="C13" s="33" t="s">
        <v>48</v>
      </c>
      <c r="D13" s="32">
        <f>'Fluxo de pagamentos'!J5</f>
        <v>42649550.918097198</v>
      </c>
      <c r="E13" s="32">
        <f>'Fluxo de pagamentos'!K5</f>
        <v>8362181.3736455785</v>
      </c>
      <c r="F13" s="32">
        <f>'Fluxo de pagamentos'!L5</f>
        <v>0</v>
      </c>
      <c r="G13" s="32">
        <f>'Fluxo de pagamentos'!M5</f>
        <v>0</v>
      </c>
      <c r="H13" s="32">
        <f>'Fluxo de pagamentos'!N5</f>
        <v>0</v>
      </c>
      <c r="I13" s="32">
        <f>'Fluxo de pagamentos'!O5</f>
        <v>0</v>
      </c>
      <c r="J13" s="32">
        <f>'Fluxo de pagamentos'!P5</f>
        <v>0</v>
      </c>
      <c r="K13" s="32">
        <f>'Fluxo de pagamentos'!Q5</f>
        <v>0</v>
      </c>
      <c r="L13" s="32">
        <f>'Fluxo de pagamentos'!R5</f>
        <v>0</v>
      </c>
      <c r="M13" s="32">
        <f>'Fluxo de pagamentos'!S5</f>
        <v>0</v>
      </c>
      <c r="N13" s="32">
        <f>'Fluxo de pagamentos'!T5</f>
        <v>0</v>
      </c>
      <c r="O13" s="32">
        <f>'Fluxo de pagamentos'!U5</f>
        <v>0</v>
      </c>
      <c r="P13" s="32">
        <f>'Fluxo de pagamentos'!V5</f>
        <v>0</v>
      </c>
      <c r="Q13" s="32">
        <f>'Fluxo de pagamentos'!W5</f>
        <v>0</v>
      </c>
      <c r="R13" s="32">
        <f>'Fluxo de pagamentos'!X5</f>
        <v>0</v>
      </c>
      <c r="S13" s="32">
        <f>'Fluxo de pagamentos'!Y5</f>
        <v>0</v>
      </c>
      <c r="T13" s="32">
        <f>'Fluxo de pagamentos'!Z5</f>
        <v>0</v>
      </c>
      <c r="U13" s="32">
        <f>'Fluxo de pagamentos'!AA5</f>
        <v>0</v>
      </c>
      <c r="V13" s="32">
        <f>'Fluxo de pagamentos'!AB5</f>
        <v>0</v>
      </c>
      <c r="W13" s="32">
        <f>'Fluxo de pagamentos'!AC5</f>
        <v>0</v>
      </c>
      <c r="X13" s="32">
        <f>'Fluxo de pagamentos'!AD5</f>
        <v>0</v>
      </c>
      <c r="Y13" s="32">
        <f>'Fluxo de pagamentos'!AE5</f>
        <v>0</v>
      </c>
      <c r="Z13" s="32">
        <f>'Fluxo de pagamentos'!AF5</f>
        <v>0</v>
      </c>
      <c r="AA13" s="32">
        <f>'Fluxo de pagamentos'!AG5</f>
        <v>0</v>
      </c>
      <c r="AB13" s="32">
        <f>'Fluxo de pagamentos'!AH5</f>
        <v>0</v>
      </c>
      <c r="AC13" s="32">
        <f>'Fluxo de pagamentos'!AI5</f>
        <v>3048542.4358633407</v>
      </c>
      <c r="AD13" s="32">
        <f>'Fluxo de pagamentos'!AJ5</f>
        <v>0</v>
      </c>
      <c r="AE13" s="32">
        <f>'Fluxo de pagamentos'!AK5</f>
        <v>0</v>
      </c>
      <c r="AF13" s="32">
        <f>'Fluxo de pagamentos'!AL5</f>
        <v>0</v>
      </c>
      <c r="AG13" s="32">
        <f>'Fluxo de pagamentos'!AM5</f>
        <v>0</v>
      </c>
      <c r="AH13" s="32">
        <f>'Fluxo de pagamentos'!AN5</f>
        <v>0</v>
      </c>
      <c r="AI13" s="32">
        <f>'Fluxo de pagamentos'!AO5</f>
        <v>0</v>
      </c>
      <c r="AJ13" s="32">
        <f>'Fluxo de pagamentos'!AP5</f>
        <v>0</v>
      </c>
      <c r="AK13" s="32">
        <f>'Fluxo de pagamentos'!AQ5</f>
        <v>0</v>
      </c>
      <c r="AL13" s="32">
        <f>'Fluxo de pagamentos'!AR5</f>
        <v>0</v>
      </c>
      <c r="AM13" s="32">
        <f>'Fluxo de pagamentos'!AS5</f>
        <v>0</v>
      </c>
      <c r="AN13" s="32">
        <f>'Fluxo de pagamentos'!AT5</f>
        <v>0</v>
      </c>
      <c r="AO13" s="32">
        <f>'Fluxo de pagamentos'!AU5</f>
        <v>15619413.554294141</v>
      </c>
      <c r="AP13" s="32">
        <f>'Fluxo de pagamentos'!AV5</f>
        <v>0</v>
      </c>
      <c r="AQ13" s="32">
        <f>'Fluxo de pagamentos'!AW5</f>
        <v>0</v>
      </c>
      <c r="AR13" s="32">
        <f>'Fluxo de pagamentos'!AX5</f>
        <v>0</v>
      </c>
      <c r="AS13" s="32">
        <f>'Fluxo de pagamentos'!AY5</f>
        <v>0</v>
      </c>
      <c r="AT13" s="32">
        <f>'Fluxo de pagamentos'!AZ5</f>
        <v>0</v>
      </c>
      <c r="AU13" s="32">
        <f>'Fluxo de pagamentos'!BA5</f>
        <v>0</v>
      </c>
      <c r="AV13" s="32">
        <f>'Fluxo de pagamentos'!BB5</f>
        <v>0</v>
      </c>
      <c r="AW13" s="32">
        <f>'Fluxo de pagamentos'!BC5</f>
        <v>0</v>
      </c>
      <c r="AX13" s="32">
        <f>'Fluxo de pagamentos'!BD5</f>
        <v>0</v>
      </c>
      <c r="AY13" s="32">
        <f>'Fluxo de pagamentos'!BE5</f>
        <v>0</v>
      </c>
      <c r="AZ13" s="32">
        <f>'Fluxo de pagamentos'!BF5</f>
        <v>0</v>
      </c>
      <c r="BA13" s="32">
        <f>'Fluxo de pagamentos'!BG5</f>
        <v>15619413.554294141</v>
      </c>
      <c r="BB13" s="41">
        <f t="shared" ref="BB13:BB22" si="4">SUM(E13:BA13)</f>
        <v>42649550.918097198</v>
      </c>
      <c r="BC13" s="41"/>
      <c r="BD13" s="42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  <c r="CD13" s="43"/>
    </row>
    <row r="14" spans="1:82" s="33" customFormat="1" ht="32" x14ac:dyDescent="0.2">
      <c r="A14" s="31" t="s">
        <v>89</v>
      </c>
      <c r="B14" s="33" t="s">
        <v>81</v>
      </c>
      <c r="C14" s="33" t="s">
        <v>48</v>
      </c>
      <c r="D14" s="32">
        <f>('Fluxo de pagamentos'!J7+'Fluxo de pagamentos'!J8)*64.7%</f>
        <v>7488507.898190001</v>
      </c>
      <c r="E14" s="32">
        <f>('Fluxo de pagamentos'!K7+'Fluxo de pagamentos'!K8)*64.7%</f>
        <v>1941000</v>
      </c>
      <c r="F14" s="32">
        <f>('Fluxo de pagamentos'!L7+'Fluxo de pagamentos'!L8)*64.7%</f>
        <v>0</v>
      </c>
      <c r="G14" s="32">
        <f>('Fluxo de pagamentos'!M7+'Fluxo de pagamentos'!M8)*64.7%</f>
        <v>499493.76322999998</v>
      </c>
      <c r="H14" s="32">
        <f>('Fluxo de pagamentos'!N7+'Fluxo de pagamentos'!N8)*64.7%</f>
        <v>551259.15273999993</v>
      </c>
      <c r="I14" s="32">
        <f>('Fluxo de pagamentos'!O7+'Fluxo de pagamentos'!O8)*64.7%</f>
        <v>499493.76322999998</v>
      </c>
      <c r="J14" s="32">
        <f>('Fluxo de pagamentos'!P7+'Fluxo de pagamentos'!P8)*64.7%</f>
        <v>349453.18216999999</v>
      </c>
      <c r="K14" s="32">
        <f>('Fluxo de pagamentos'!Q7+'Fluxo de pagamentos'!Q8)*64.7%</f>
        <v>297703.64415999997</v>
      </c>
      <c r="L14" s="32">
        <f>('Fluxo de pagamentos'!R7+'Fluxo de pagamentos'!R8)*64.7%</f>
        <v>347964.05344000005</v>
      </c>
      <c r="M14" s="32">
        <f>('Fluxo de pagamentos'!S7+'Fluxo de pagamentos'!S8)*64.7%</f>
        <v>287030.13692000002</v>
      </c>
      <c r="N14" s="32">
        <f>('Fluxo de pagamentos'!T7+'Fluxo de pagamentos'!T8)*64.7%</f>
        <v>337754.32874000003</v>
      </c>
      <c r="O14" s="32">
        <f>('Fluxo de pagamentos'!U7+'Fluxo de pagamentos'!U8)*64.7%</f>
        <v>132301.60090000002</v>
      </c>
      <c r="P14" s="32">
        <f>('Fluxo de pagamentos'!V7+'Fluxo de pagamentos'!V8)*64.7%</f>
        <v>132306.99041</v>
      </c>
      <c r="Q14" s="32">
        <f>('Fluxo de pagamentos'!W7+'Fluxo de pagamentos'!W8)*64.7%</f>
        <v>132301.60090000002</v>
      </c>
      <c r="R14" s="32">
        <f>('Fluxo de pagamentos'!X7+'Fluxo de pagamentos'!X8)*64.7%</f>
        <v>132306.99041</v>
      </c>
      <c r="S14" s="32">
        <f>('Fluxo de pagamentos'!Y7+'Fluxo de pagamentos'!Y8)*64.7%</f>
        <v>130565.86812</v>
      </c>
      <c r="T14" s="32">
        <f>('Fluxo de pagamentos'!Z7+'Fluxo de pagamentos'!Z8)*64.7%</f>
        <v>130571.28350999999</v>
      </c>
      <c r="U14" s="32">
        <f>('Fluxo de pagamentos'!AA7+'Fluxo de pagamentos'!AA8)*64.7%</f>
        <v>55087.902730000002</v>
      </c>
      <c r="V14" s="32">
        <f>('Fluxo de pagamentos'!AB7+'Fluxo de pagamentos'!AB8)*64.7%</f>
        <v>55087.902730000002</v>
      </c>
      <c r="W14" s="32">
        <f>('Fluxo de pagamentos'!AC7+'Fluxo de pagamentos'!AC8)*64.7%</f>
        <v>53487.153560000006</v>
      </c>
      <c r="X14" s="32">
        <f>('Fluxo de pagamentos'!AD7+'Fluxo de pagamentos'!AD8)*64.7%</f>
        <v>51955.193430000007</v>
      </c>
      <c r="Y14" s="32">
        <f>('Fluxo de pagamentos'!AE7+'Fluxo de pagamentos'!AE8)*64.7%</f>
        <v>51955.193430000007</v>
      </c>
      <c r="Z14" s="32">
        <f>('Fluxo de pagamentos'!AF7+'Fluxo de pagamentos'!AF8)*64.7%</f>
        <v>51955.193430000007</v>
      </c>
      <c r="AA14" s="32">
        <f>('Fluxo de pagamentos'!AG7+'Fluxo de pagamentos'!AG8)*64.7%</f>
        <v>0</v>
      </c>
      <c r="AB14" s="32">
        <f>('Fluxo de pagamentos'!AH7+'Fluxo de pagamentos'!AH8)*64.7%</f>
        <v>0</v>
      </c>
      <c r="AC14" s="32">
        <f>('Fluxo de pagamentos'!AI7+'Fluxo de pagamentos'!AI8)*64.7%</f>
        <v>422491</v>
      </c>
      <c r="AD14" s="32">
        <f>('Fluxo de pagamentos'!AJ7+'Fluxo de pagamentos'!AJ8)*64.7%</f>
        <v>0</v>
      </c>
      <c r="AE14" s="32">
        <f>('Fluxo de pagamentos'!AK7+'Fluxo de pagamentos'!AK8)*64.7%</f>
        <v>0</v>
      </c>
      <c r="AF14" s="32">
        <f>('Fluxo de pagamentos'!AL7+'Fluxo de pagamentos'!AL8)*64.7%</f>
        <v>0</v>
      </c>
      <c r="AG14" s="32">
        <f>('Fluxo de pagamentos'!AM7+'Fluxo de pagamentos'!AM8)*64.7%</f>
        <v>0</v>
      </c>
      <c r="AH14" s="32">
        <f>('Fluxo de pagamentos'!AN7+'Fluxo de pagamentos'!AN8)*64.7%</f>
        <v>0</v>
      </c>
      <c r="AI14" s="32">
        <f>('Fluxo de pagamentos'!AO7+'Fluxo de pagamentos'!AO8)*64.7%</f>
        <v>0</v>
      </c>
      <c r="AJ14" s="32">
        <f>('Fluxo de pagamentos'!AP7+'Fluxo de pagamentos'!AP8)*64.7%</f>
        <v>0</v>
      </c>
      <c r="AK14" s="32">
        <f>('Fluxo de pagamentos'!AQ7+'Fluxo de pagamentos'!AQ8)*64.7%</f>
        <v>0</v>
      </c>
      <c r="AL14" s="32">
        <f>('Fluxo de pagamentos'!AR7+'Fluxo de pagamentos'!AR8)*64.7%</f>
        <v>0</v>
      </c>
      <c r="AM14" s="32">
        <f>('Fluxo de pagamentos'!AS7+'Fluxo de pagamentos'!AS8)*64.7%</f>
        <v>0</v>
      </c>
      <c r="AN14" s="32">
        <f>('Fluxo de pagamentos'!AT7+'Fluxo de pagamentos'!AT8)*64.7%</f>
        <v>0</v>
      </c>
      <c r="AO14" s="32">
        <f>('Fluxo de pagamentos'!AU7+'Fluxo de pagamentos'!AU8)*64.7%</f>
        <v>422491</v>
      </c>
      <c r="AP14" s="32">
        <f>('Fluxo de pagamentos'!AV7+'Fluxo de pagamentos'!AV8)*64.7%</f>
        <v>0</v>
      </c>
      <c r="AQ14" s="32">
        <f>('Fluxo de pagamentos'!AW7+'Fluxo de pagamentos'!AW8)*64.7%</f>
        <v>0</v>
      </c>
      <c r="AR14" s="32">
        <f>('Fluxo de pagamentos'!AX7+'Fluxo de pagamentos'!AX8)*64.7%</f>
        <v>0</v>
      </c>
      <c r="AS14" s="32">
        <f>('Fluxo de pagamentos'!AY7+'Fluxo de pagamentos'!AY8)*64.7%</f>
        <v>0</v>
      </c>
      <c r="AT14" s="32">
        <f>('Fluxo de pagamentos'!AZ7+'Fluxo de pagamentos'!AZ8)*64.7%</f>
        <v>0</v>
      </c>
      <c r="AU14" s="32">
        <f>('Fluxo de pagamentos'!BA7+'Fluxo de pagamentos'!BA8)*64.7%</f>
        <v>0</v>
      </c>
      <c r="AV14" s="32">
        <f>('Fluxo de pagamentos'!BB7+'Fluxo de pagamentos'!BB8)*64.7%</f>
        <v>0</v>
      </c>
      <c r="AW14" s="32">
        <f>('Fluxo de pagamentos'!BC7+'Fluxo de pagamentos'!BC8)*64.7%</f>
        <v>0</v>
      </c>
      <c r="AX14" s="32">
        <f>('Fluxo de pagamentos'!BD7+'Fluxo de pagamentos'!BD8)*64.7%</f>
        <v>0</v>
      </c>
      <c r="AY14" s="32">
        <f>('Fluxo de pagamentos'!BE7+'Fluxo de pagamentos'!BE8)*64.7%</f>
        <v>0</v>
      </c>
      <c r="AZ14" s="32">
        <f>('Fluxo de pagamentos'!BF7+'Fluxo de pagamentos'!BF8)*64.7%</f>
        <v>0</v>
      </c>
      <c r="BA14" s="32">
        <f>('Fluxo de pagamentos'!BG7+'Fluxo de pagamentos'!BG8)*64.7%</f>
        <v>422491</v>
      </c>
      <c r="BB14" s="41">
        <f t="shared" si="4"/>
        <v>7488507.898190002</v>
      </c>
      <c r="BC14" s="41"/>
      <c r="BD14" s="42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</row>
    <row r="15" spans="1:82" s="33" customFormat="1" ht="32" x14ac:dyDescent="0.2">
      <c r="A15" s="31" t="s">
        <v>90</v>
      </c>
      <c r="B15" s="33" t="s">
        <v>81</v>
      </c>
      <c r="C15" s="33" t="s">
        <v>48</v>
      </c>
      <c r="D15" s="32">
        <f t="shared" ref="D15:AI15" si="5">SUM(D13:D14)</f>
        <v>50138058.816287197</v>
      </c>
      <c r="E15" s="32">
        <f t="shared" si="5"/>
        <v>10303181.373645578</v>
      </c>
      <c r="F15" s="32">
        <f t="shared" si="5"/>
        <v>0</v>
      </c>
      <c r="G15" s="32">
        <f t="shared" si="5"/>
        <v>499493.76322999998</v>
      </c>
      <c r="H15" s="32">
        <f t="shared" si="5"/>
        <v>551259.15273999993</v>
      </c>
      <c r="I15" s="32">
        <f t="shared" si="5"/>
        <v>499493.76322999998</v>
      </c>
      <c r="J15" s="32">
        <f t="shared" si="5"/>
        <v>349453.18216999999</v>
      </c>
      <c r="K15" s="32">
        <f t="shared" si="5"/>
        <v>297703.64415999997</v>
      </c>
      <c r="L15" s="32">
        <f t="shared" si="5"/>
        <v>347964.05344000005</v>
      </c>
      <c r="M15" s="32">
        <f t="shared" si="5"/>
        <v>287030.13692000002</v>
      </c>
      <c r="N15" s="32">
        <f t="shared" si="5"/>
        <v>337754.32874000003</v>
      </c>
      <c r="O15" s="32">
        <f t="shared" si="5"/>
        <v>132301.60090000002</v>
      </c>
      <c r="P15" s="32">
        <f t="shared" si="5"/>
        <v>132306.99041</v>
      </c>
      <c r="Q15" s="32">
        <f t="shared" si="5"/>
        <v>132301.60090000002</v>
      </c>
      <c r="R15" s="32">
        <f t="shared" si="5"/>
        <v>132306.99041</v>
      </c>
      <c r="S15" s="32">
        <f t="shared" si="5"/>
        <v>130565.86812</v>
      </c>
      <c r="T15" s="32">
        <f t="shared" si="5"/>
        <v>130571.28350999999</v>
      </c>
      <c r="U15" s="32">
        <f t="shared" si="5"/>
        <v>55087.902730000002</v>
      </c>
      <c r="V15" s="32">
        <f t="shared" si="5"/>
        <v>55087.902730000002</v>
      </c>
      <c r="W15" s="32">
        <f t="shared" si="5"/>
        <v>53487.153560000006</v>
      </c>
      <c r="X15" s="32">
        <f t="shared" si="5"/>
        <v>51955.193430000007</v>
      </c>
      <c r="Y15" s="32">
        <f t="shared" si="5"/>
        <v>51955.193430000007</v>
      </c>
      <c r="Z15" s="32">
        <f t="shared" si="5"/>
        <v>51955.193430000007</v>
      </c>
      <c r="AA15" s="32">
        <f t="shared" si="5"/>
        <v>0</v>
      </c>
      <c r="AB15" s="32">
        <f t="shared" si="5"/>
        <v>0</v>
      </c>
      <c r="AC15" s="32">
        <f t="shared" si="5"/>
        <v>3471033.4358633407</v>
      </c>
      <c r="AD15" s="32">
        <f t="shared" si="5"/>
        <v>0</v>
      </c>
      <c r="AE15" s="32">
        <f t="shared" si="5"/>
        <v>0</v>
      </c>
      <c r="AF15" s="32">
        <f t="shared" si="5"/>
        <v>0</v>
      </c>
      <c r="AG15" s="32">
        <f t="shared" si="5"/>
        <v>0</v>
      </c>
      <c r="AH15" s="32">
        <f t="shared" si="5"/>
        <v>0</v>
      </c>
      <c r="AI15" s="32">
        <f t="shared" si="5"/>
        <v>0</v>
      </c>
      <c r="AJ15" s="32">
        <f t="shared" ref="AJ15:BO15" si="6">SUM(AJ13:AJ14)</f>
        <v>0</v>
      </c>
      <c r="AK15" s="32">
        <f t="shared" si="6"/>
        <v>0</v>
      </c>
      <c r="AL15" s="32">
        <f t="shared" si="6"/>
        <v>0</v>
      </c>
      <c r="AM15" s="32">
        <f t="shared" si="6"/>
        <v>0</v>
      </c>
      <c r="AN15" s="32">
        <f t="shared" si="6"/>
        <v>0</v>
      </c>
      <c r="AO15" s="32">
        <f t="shared" si="6"/>
        <v>16041904.554294141</v>
      </c>
      <c r="AP15" s="32">
        <f t="shared" si="6"/>
        <v>0</v>
      </c>
      <c r="AQ15" s="32">
        <f t="shared" si="6"/>
        <v>0</v>
      </c>
      <c r="AR15" s="32">
        <f t="shared" si="6"/>
        <v>0</v>
      </c>
      <c r="AS15" s="32">
        <f t="shared" si="6"/>
        <v>0</v>
      </c>
      <c r="AT15" s="32">
        <f t="shared" si="6"/>
        <v>0</v>
      </c>
      <c r="AU15" s="32">
        <f t="shared" si="6"/>
        <v>0</v>
      </c>
      <c r="AV15" s="32">
        <f t="shared" si="6"/>
        <v>0</v>
      </c>
      <c r="AW15" s="32">
        <f t="shared" si="6"/>
        <v>0</v>
      </c>
      <c r="AX15" s="32">
        <f t="shared" si="6"/>
        <v>0</v>
      </c>
      <c r="AY15" s="32">
        <f t="shared" si="6"/>
        <v>0</v>
      </c>
      <c r="AZ15" s="32">
        <f t="shared" si="6"/>
        <v>0</v>
      </c>
      <c r="BA15" s="32">
        <f t="shared" si="6"/>
        <v>16041904.554294141</v>
      </c>
      <c r="BB15" s="41">
        <f t="shared" si="4"/>
        <v>50138058.816287197</v>
      </c>
      <c r="BC15" s="41"/>
      <c r="BD15" s="42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  <c r="CD15" s="43"/>
    </row>
    <row r="16" spans="1:82" s="33" customFormat="1" ht="32" x14ac:dyDescent="0.2">
      <c r="A16" s="31" t="s">
        <v>91</v>
      </c>
      <c r="B16" s="33" t="s">
        <v>81</v>
      </c>
      <c r="C16" s="33" t="s">
        <v>51</v>
      </c>
      <c r="D16" s="32">
        <f>'Fluxo de pagamentos'!J6</f>
        <v>23271327.268883705</v>
      </c>
      <c r="E16" s="32">
        <f>'Fluxo de pagamentos'!K6</f>
        <v>4562745.8024486918</v>
      </c>
      <c r="F16" s="32">
        <f>'Fluxo de pagamentos'!L6</f>
        <v>0</v>
      </c>
      <c r="G16" s="32">
        <f>'Fluxo de pagamentos'!M6</f>
        <v>0</v>
      </c>
      <c r="H16" s="32">
        <f>'Fluxo de pagamentos'!N6</f>
        <v>0</v>
      </c>
      <c r="I16" s="32">
        <f>'Fluxo de pagamentos'!O6</f>
        <v>0</v>
      </c>
      <c r="J16" s="32">
        <f>'Fluxo de pagamentos'!P6</f>
        <v>0</v>
      </c>
      <c r="K16" s="32">
        <f>'Fluxo de pagamentos'!Q6</f>
        <v>0</v>
      </c>
      <c r="L16" s="32">
        <f>'Fluxo de pagamentos'!R6</f>
        <v>0</v>
      </c>
      <c r="M16" s="32">
        <f>'Fluxo de pagamentos'!S6</f>
        <v>0</v>
      </c>
      <c r="N16" s="32">
        <f>'Fluxo de pagamentos'!T6</f>
        <v>0</v>
      </c>
      <c r="O16" s="32">
        <f>'Fluxo de pagamentos'!U6</f>
        <v>0</v>
      </c>
      <c r="P16" s="32">
        <f>'Fluxo de pagamentos'!V6</f>
        <v>0</v>
      </c>
      <c r="Q16" s="32">
        <f>'Fluxo de pagamentos'!W6</f>
        <v>0</v>
      </c>
      <c r="R16" s="32">
        <f>'Fluxo de pagamentos'!X6</f>
        <v>0</v>
      </c>
      <c r="S16" s="32">
        <f>'Fluxo de pagamentos'!Y6</f>
        <v>0</v>
      </c>
      <c r="T16" s="32">
        <f>'Fluxo de pagamentos'!Z6</f>
        <v>0</v>
      </c>
      <c r="U16" s="32">
        <f>'Fluxo de pagamentos'!AA6</f>
        <v>0</v>
      </c>
      <c r="V16" s="32">
        <f>'Fluxo de pagamentos'!AB6</f>
        <v>0</v>
      </c>
      <c r="W16" s="32">
        <f>'Fluxo de pagamentos'!AC6</f>
        <v>0</v>
      </c>
      <c r="X16" s="32">
        <f>'Fluxo de pagamentos'!AD6</f>
        <v>0</v>
      </c>
      <c r="Y16" s="32">
        <f>'Fluxo de pagamentos'!AE6</f>
        <v>0</v>
      </c>
      <c r="Z16" s="32">
        <f>'Fluxo de pagamentos'!AF6</f>
        <v>0</v>
      </c>
      <c r="AA16" s="32">
        <f>'Fluxo de pagamentos'!AG6</f>
        <v>0</v>
      </c>
      <c r="AB16" s="32">
        <f>'Fluxo de pagamentos'!AH6</f>
        <v>0</v>
      </c>
      <c r="AC16" s="32">
        <f>'Fluxo de pagamentos'!AI6</f>
        <v>1663408.5750232993</v>
      </c>
      <c r="AD16" s="32">
        <f>'Fluxo de pagamentos'!AJ6</f>
        <v>0</v>
      </c>
      <c r="AE16" s="32">
        <f>'Fluxo de pagamentos'!AK6</f>
        <v>0</v>
      </c>
      <c r="AF16" s="32">
        <f>'Fluxo de pagamentos'!AL6</f>
        <v>0</v>
      </c>
      <c r="AG16" s="32">
        <f>'Fluxo de pagamentos'!AM6</f>
        <v>0</v>
      </c>
      <c r="AH16" s="32">
        <f>'Fluxo de pagamentos'!AN6</f>
        <v>0</v>
      </c>
      <c r="AI16" s="32">
        <f>'Fluxo de pagamentos'!AO6</f>
        <v>0</v>
      </c>
      <c r="AJ16" s="32">
        <f>'Fluxo de pagamentos'!AP6</f>
        <v>0</v>
      </c>
      <c r="AK16" s="32">
        <f>'Fluxo de pagamentos'!AQ6</f>
        <v>0</v>
      </c>
      <c r="AL16" s="32">
        <f>'Fluxo de pagamentos'!AR6</f>
        <v>0</v>
      </c>
      <c r="AM16" s="32">
        <f>'Fluxo de pagamentos'!AS6</f>
        <v>0</v>
      </c>
      <c r="AN16" s="32">
        <f>'Fluxo de pagamentos'!AT6</f>
        <v>0</v>
      </c>
      <c r="AO16" s="32">
        <f>'Fluxo de pagamentos'!AU6</f>
        <v>8522586.4457058571</v>
      </c>
      <c r="AP16" s="32">
        <f>'Fluxo de pagamentos'!AV6</f>
        <v>0</v>
      </c>
      <c r="AQ16" s="32">
        <f>'Fluxo de pagamentos'!AW6</f>
        <v>0</v>
      </c>
      <c r="AR16" s="32">
        <f>'Fluxo de pagamentos'!AX6</f>
        <v>0</v>
      </c>
      <c r="AS16" s="32">
        <f>'Fluxo de pagamentos'!AY6</f>
        <v>0</v>
      </c>
      <c r="AT16" s="32">
        <f>'Fluxo de pagamentos'!AZ6</f>
        <v>0</v>
      </c>
      <c r="AU16" s="32">
        <f>'Fluxo de pagamentos'!BA6</f>
        <v>0</v>
      </c>
      <c r="AV16" s="32">
        <f>'Fluxo de pagamentos'!BB6</f>
        <v>0</v>
      </c>
      <c r="AW16" s="32">
        <f>'Fluxo de pagamentos'!BC6</f>
        <v>0</v>
      </c>
      <c r="AX16" s="32">
        <f>'Fluxo de pagamentos'!BD6</f>
        <v>0</v>
      </c>
      <c r="AY16" s="32">
        <f>'Fluxo de pagamentos'!BE6</f>
        <v>0</v>
      </c>
      <c r="AZ16" s="32">
        <f>'Fluxo de pagamentos'!BF6</f>
        <v>0</v>
      </c>
      <c r="BA16" s="32">
        <f>'Fluxo de pagamentos'!BG6</f>
        <v>8522586.4457058571</v>
      </c>
      <c r="BB16" s="41">
        <f t="shared" si="4"/>
        <v>23271327.268883705</v>
      </c>
      <c r="BC16" s="43"/>
      <c r="BD16" s="42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  <c r="CD16" s="43"/>
    </row>
    <row r="17" spans="1:82" s="33" customFormat="1" ht="32" x14ac:dyDescent="0.2">
      <c r="A17" s="31" t="s">
        <v>89</v>
      </c>
      <c r="B17" s="33" t="s">
        <v>81</v>
      </c>
      <c r="C17" s="33" t="s">
        <v>51</v>
      </c>
      <c r="D17" s="32">
        <f>('Fluxo de pagamentos'!J7+'Fluxo de pagamentos'!J8)*35.3%</f>
        <v>4085692.8718100004</v>
      </c>
      <c r="E17" s="32">
        <f>('Fluxo de pagamentos'!K7+'Fluxo de pagamentos'!K8)*35.3%</f>
        <v>1059000</v>
      </c>
      <c r="F17" s="32">
        <f>('Fluxo de pagamentos'!L7+'Fluxo de pagamentos'!L8)*35.3%</f>
        <v>0</v>
      </c>
      <c r="G17" s="32">
        <f>('Fluxo de pagamentos'!M7+'Fluxo de pagamentos'!M8)*35.3%</f>
        <v>272521.32676999999</v>
      </c>
      <c r="H17" s="32">
        <f>('Fluxo de pagamentos'!N7+'Fluxo de pagamentos'!N8)*35.3%</f>
        <v>300764.26725999994</v>
      </c>
      <c r="I17" s="32">
        <f>('Fluxo de pagamentos'!O7+'Fluxo de pagamentos'!O8)*35.3%</f>
        <v>272521.32676999999</v>
      </c>
      <c r="J17" s="32">
        <f>('Fluxo de pagamentos'!P7+'Fluxo de pagamentos'!P8)*35.3%</f>
        <v>190659.92782999997</v>
      </c>
      <c r="K17" s="32">
        <f>('Fluxo de pagamentos'!Q7+'Fluxo de pagamentos'!Q8)*35.3%</f>
        <v>162425.63583999997</v>
      </c>
      <c r="L17" s="32">
        <f>('Fluxo de pagamentos'!R7+'Fluxo de pagamentos'!R8)*35.3%</f>
        <v>189847.46656</v>
      </c>
      <c r="M17" s="32">
        <f>('Fluxo de pagamentos'!S7+'Fluxo de pagamentos'!S8)*35.3%</f>
        <v>156602.22308</v>
      </c>
      <c r="N17" s="32">
        <f>('Fluxo de pagamentos'!T7+'Fluxo de pagamentos'!T8)*35.3%</f>
        <v>184277.09125999999</v>
      </c>
      <c r="O17" s="32">
        <f>('Fluxo de pagamentos'!U7+'Fluxo de pagamentos'!U8)*35.3%</f>
        <v>72183.099100000007</v>
      </c>
      <c r="P17" s="32">
        <f>('Fluxo de pagamentos'!V7+'Fluxo de pagamentos'!V8)*35.3%</f>
        <v>72186.03959</v>
      </c>
      <c r="Q17" s="32">
        <f>('Fluxo de pagamentos'!W7+'Fluxo de pagamentos'!W8)*35.3%</f>
        <v>72183.099100000007</v>
      </c>
      <c r="R17" s="32">
        <f>('Fluxo de pagamentos'!X7+'Fluxo de pagamentos'!X8)*35.3%</f>
        <v>72186.03959</v>
      </c>
      <c r="S17" s="32">
        <f>('Fluxo de pagamentos'!Y7+'Fluxo de pagamentos'!Y8)*35.3%</f>
        <v>71236.091879999993</v>
      </c>
      <c r="T17" s="32">
        <f>('Fluxo de pagamentos'!Z7+'Fluxo de pagamentos'!Z8)*35.3%</f>
        <v>71239.046489999993</v>
      </c>
      <c r="U17" s="32">
        <f>('Fluxo de pagamentos'!AA7+'Fluxo de pagamentos'!AA8)*35.3%</f>
        <v>30055.687269999999</v>
      </c>
      <c r="V17" s="32">
        <f>('Fluxo de pagamentos'!AB7+'Fluxo de pagamentos'!AB8)*35.3%</f>
        <v>30055.687269999999</v>
      </c>
      <c r="W17" s="32">
        <f>('Fluxo de pagamentos'!AC7+'Fluxo de pagamentos'!AC8)*35.3%</f>
        <v>29182.326440000001</v>
      </c>
      <c r="X17" s="32">
        <f>('Fluxo de pagamentos'!AD7+'Fluxo de pagamentos'!AD8)*35.3%</f>
        <v>28346.496569999999</v>
      </c>
      <c r="Y17" s="32">
        <f>('Fluxo de pagamentos'!AE7+'Fluxo de pagamentos'!AE8)*35.3%</f>
        <v>28346.496569999999</v>
      </c>
      <c r="Z17" s="32">
        <f>('Fluxo de pagamentos'!AF7+'Fluxo de pagamentos'!AF8)*35.3%</f>
        <v>28346.496569999999</v>
      </c>
      <c r="AA17" s="32">
        <f>('Fluxo de pagamentos'!AG7+'Fluxo de pagamentos'!AG8)*35.3%</f>
        <v>0</v>
      </c>
      <c r="AB17" s="32">
        <f>('Fluxo de pagamentos'!AH7+'Fluxo de pagamentos'!AH8)*35.3%</f>
        <v>0</v>
      </c>
      <c r="AC17" s="32">
        <f>('Fluxo de pagamentos'!AI7+'Fluxo de pagamentos'!AI8)*35.3%</f>
        <v>230509</v>
      </c>
      <c r="AD17" s="32">
        <f>('Fluxo de pagamentos'!AJ7+'Fluxo de pagamentos'!AJ8)*35.3%</f>
        <v>0</v>
      </c>
      <c r="AE17" s="32">
        <f>('Fluxo de pagamentos'!AK7+'Fluxo de pagamentos'!AK8)*35.3%</f>
        <v>0</v>
      </c>
      <c r="AF17" s="32">
        <f>('Fluxo de pagamentos'!AL7+'Fluxo de pagamentos'!AL8)*35.3%</f>
        <v>0</v>
      </c>
      <c r="AG17" s="32">
        <f>('Fluxo de pagamentos'!AM7+'Fluxo de pagamentos'!AM8)*35.3%</f>
        <v>0</v>
      </c>
      <c r="AH17" s="32">
        <f>('Fluxo de pagamentos'!AN7+'Fluxo de pagamentos'!AN8)*35.3%</f>
        <v>0</v>
      </c>
      <c r="AI17" s="32">
        <f>('Fluxo de pagamentos'!AO7+'Fluxo de pagamentos'!AO8)*35.3%</f>
        <v>0</v>
      </c>
      <c r="AJ17" s="32">
        <f>('Fluxo de pagamentos'!AP7+'Fluxo de pagamentos'!AP8)*35.3%</f>
        <v>0</v>
      </c>
      <c r="AK17" s="32">
        <f>('Fluxo de pagamentos'!AQ7+'Fluxo de pagamentos'!AQ8)*35.3%</f>
        <v>0</v>
      </c>
      <c r="AL17" s="32">
        <f>('Fluxo de pagamentos'!AR7+'Fluxo de pagamentos'!AR8)*35.3%</f>
        <v>0</v>
      </c>
      <c r="AM17" s="32">
        <f>('Fluxo de pagamentos'!AS7+'Fluxo de pagamentos'!AS8)*35.3%</f>
        <v>0</v>
      </c>
      <c r="AN17" s="32">
        <f>('Fluxo de pagamentos'!AT7+'Fluxo de pagamentos'!AT8)*35.3%</f>
        <v>0</v>
      </c>
      <c r="AO17" s="32">
        <f>('Fluxo de pagamentos'!AU7+'Fluxo de pagamentos'!AU8)*35.3%</f>
        <v>230509</v>
      </c>
      <c r="AP17" s="32">
        <f>('Fluxo de pagamentos'!AV7+'Fluxo de pagamentos'!AV8)*35.3%</f>
        <v>0</v>
      </c>
      <c r="AQ17" s="32">
        <f>('Fluxo de pagamentos'!AW7+'Fluxo de pagamentos'!AW8)*35.3%</f>
        <v>0</v>
      </c>
      <c r="AR17" s="32">
        <f>('Fluxo de pagamentos'!AX7+'Fluxo de pagamentos'!AX8)*35.3%</f>
        <v>0</v>
      </c>
      <c r="AS17" s="32">
        <f>('Fluxo de pagamentos'!AY7+'Fluxo de pagamentos'!AY8)*35.3%</f>
        <v>0</v>
      </c>
      <c r="AT17" s="32">
        <f>('Fluxo de pagamentos'!AZ7+'Fluxo de pagamentos'!AZ8)*35.3%</f>
        <v>0</v>
      </c>
      <c r="AU17" s="32">
        <f>('Fluxo de pagamentos'!BA7+'Fluxo de pagamentos'!BA8)*35.3%</f>
        <v>0</v>
      </c>
      <c r="AV17" s="32">
        <f>('Fluxo de pagamentos'!BB7+'Fluxo de pagamentos'!BB8)*35.3%</f>
        <v>0</v>
      </c>
      <c r="AW17" s="32">
        <f>('Fluxo de pagamentos'!BC7+'Fluxo de pagamentos'!BC8)*35.3%</f>
        <v>0</v>
      </c>
      <c r="AX17" s="32">
        <f>('Fluxo de pagamentos'!BD7+'Fluxo de pagamentos'!BD8)*35.3%</f>
        <v>0</v>
      </c>
      <c r="AY17" s="32">
        <f>('Fluxo de pagamentos'!BE7+'Fluxo de pagamentos'!BE8)*35.3%</f>
        <v>0</v>
      </c>
      <c r="AZ17" s="32">
        <f>('Fluxo de pagamentos'!BF7+'Fluxo de pagamentos'!BF8)*35.3%</f>
        <v>0</v>
      </c>
      <c r="BA17" s="32">
        <f>('Fluxo de pagamentos'!BG7+'Fluxo de pagamentos'!BG8)*35.3%</f>
        <v>230509</v>
      </c>
      <c r="BB17" s="41">
        <f t="shared" si="4"/>
        <v>4085692.8718100009</v>
      </c>
      <c r="BC17" s="43"/>
      <c r="BD17" s="42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  <c r="CD17" s="43"/>
    </row>
    <row r="18" spans="1:82" s="33" customFormat="1" ht="32" x14ac:dyDescent="0.2">
      <c r="A18" s="31" t="s">
        <v>177</v>
      </c>
      <c r="B18" s="33" t="s">
        <v>81</v>
      </c>
      <c r="C18" s="33" t="s">
        <v>51</v>
      </c>
      <c r="D18" s="32">
        <f t="shared" ref="D18:AI18" si="7">SUM(D16:D17)</f>
        <v>27357020.140693706</v>
      </c>
      <c r="E18" s="32">
        <f t="shared" si="7"/>
        <v>5621745.8024486918</v>
      </c>
      <c r="F18" s="32">
        <f t="shared" si="7"/>
        <v>0</v>
      </c>
      <c r="G18" s="32">
        <f t="shared" si="7"/>
        <v>272521.32676999999</v>
      </c>
      <c r="H18" s="32">
        <f t="shared" si="7"/>
        <v>300764.26725999994</v>
      </c>
      <c r="I18" s="32">
        <f t="shared" si="7"/>
        <v>272521.32676999999</v>
      </c>
      <c r="J18" s="32">
        <f t="shared" si="7"/>
        <v>190659.92782999997</v>
      </c>
      <c r="K18" s="32">
        <f t="shared" si="7"/>
        <v>162425.63583999997</v>
      </c>
      <c r="L18" s="32">
        <f t="shared" si="7"/>
        <v>189847.46656</v>
      </c>
      <c r="M18" s="32">
        <f t="shared" si="7"/>
        <v>156602.22308</v>
      </c>
      <c r="N18" s="32">
        <f t="shared" si="7"/>
        <v>184277.09125999999</v>
      </c>
      <c r="O18" s="32">
        <f t="shared" si="7"/>
        <v>72183.099100000007</v>
      </c>
      <c r="P18" s="32">
        <f t="shared" si="7"/>
        <v>72186.03959</v>
      </c>
      <c r="Q18" s="32">
        <f t="shared" si="7"/>
        <v>72183.099100000007</v>
      </c>
      <c r="R18" s="32">
        <f t="shared" si="7"/>
        <v>72186.03959</v>
      </c>
      <c r="S18" s="32">
        <f t="shared" si="7"/>
        <v>71236.091879999993</v>
      </c>
      <c r="T18" s="32">
        <f t="shared" si="7"/>
        <v>71239.046489999993</v>
      </c>
      <c r="U18" s="32">
        <f t="shared" si="7"/>
        <v>30055.687269999999</v>
      </c>
      <c r="V18" s="32">
        <f t="shared" si="7"/>
        <v>30055.687269999999</v>
      </c>
      <c r="W18" s="32">
        <f t="shared" si="7"/>
        <v>29182.326440000001</v>
      </c>
      <c r="X18" s="32">
        <f t="shared" si="7"/>
        <v>28346.496569999999</v>
      </c>
      <c r="Y18" s="32">
        <f t="shared" si="7"/>
        <v>28346.496569999999</v>
      </c>
      <c r="Z18" s="32">
        <f t="shared" si="7"/>
        <v>28346.496569999999</v>
      </c>
      <c r="AA18" s="32">
        <f t="shared" si="7"/>
        <v>0</v>
      </c>
      <c r="AB18" s="32">
        <f t="shared" si="7"/>
        <v>0</v>
      </c>
      <c r="AC18" s="32">
        <f t="shared" si="7"/>
        <v>1893917.5750232993</v>
      </c>
      <c r="AD18" s="32">
        <f t="shared" si="7"/>
        <v>0</v>
      </c>
      <c r="AE18" s="32">
        <f t="shared" si="7"/>
        <v>0</v>
      </c>
      <c r="AF18" s="32">
        <f t="shared" si="7"/>
        <v>0</v>
      </c>
      <c r="AG18" s="32">
        <f t="shared" si="7"/>
        <v>0</v>
      </c>
      <c r="AH18" s="32">
        <f t="shared" si="7"/>
        <v>0</v>
      </c>
      <c r="AI18" s="32">
        <f t="shared" si="7"/>
        <v>0</v>
      </c>
      <c r="AJ18" s="32">
        <f t="shared" ref="AJ18:BO18" si="8">SUM(AJ16:AJ17)</f>
        <v>0</v>
      </c>
      <c r="AK18" s="32">
        <f t="shared" si="8"/>
        <v>0</v>
      </c>
      <c r="AL18" s="32">
        <f t="shared" si="8"/>
        <v>0</v>
      </c>
      <c r="AM18" s="32">
        <f t="shared" si="8"/>
        <v>0</v>
      </c>
      <c r="AN18" s="32">
        <f t="shared" si="8"/>
        <v>0</v>
      </c>
      <c r="AO18" s="32">
        <f t="shared" si="8"/>
        <v>8753095.4457058571</v>
      </c>
      <c r="AP18" s="32">
        <f t="shared" si="8"/>
        <v>0</v>
      </c>
      <c r="AQ18" s="32">
        <f t="shared" si="8"/>
        <v>0</v>
      </c>
      <c r="AR18" s="32">
        <f t="shared" si="8"/>
        <v>0</v>
      </c>
      <c r="AS18" s="32">
        <f t="shared" si="8"/>
        <v>0</v>
      </c>
      <c r="AT18" s="32">
        <f t="shared" si="8"/>
        <v>0</v>
      </c>
      <c r="AU18" s="32">
        <f t="shared" si="8"/>
        <v>0</v>
      </c>
      <c r="AV18" s="32">
        <f t="shared" si="8"/>
        <v>0</v>
      </c>
      <c r="AW18" s="32">
        <f t="shared" si="8"/>
        <v>0</v>
      </c>
      <c r="AX18" s="32">
        <f t="shared" si="8"/>
        <v>0</v>
      </c>
      <c r="AY18" s="32">
        <f t="shared" si="8"/>
        <v>0</v>
      </c>
      <c r="AZ18" s="32">
        <f t="shared" si="8"/>
        <v>0</v>
      </c>
      <c r="BA18" s="32">
        <f t="shared" si="8"/>
        <v>8753095.4457058571</v>
      </c>
      <c r="BB18" s="41">
        <f t="shared" si="4"/>
        <v>27357020.140693706</v>
      </c>
      <c r="BC18" s="43"/>
      <c r="BD18" s="42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  <c r="CD18" s="43"/>
    </row>
    <row r="19" spans="1:82" x14ac:dyDescent="0.2">
      <c r="A19" t="str">
        <f>A4</f>
        <v>Cessão Imobilizado</v>
      </c>
      <c r="B19" t="s">
        <v>87</v>
      </c>
      <c r="C19" t="s">
        <v>48</v>
      </c>
      <c r="D19" s="30">
        <f>D4</f>
        <v>28762280.73</v>
      </c>
      <c r="E19" s="30">
        <f>D19</f>
        <v>28762280.73</v>
      </c>
      <c r="F19" s="30">
        <f t="shared" ref="F19:BA19" si="9">F4</f>
        <v>0</v>
      </c>
      <c r="G19" s="30">
        <f t="shared" si="9"/>
        <v>0</v>
      </c>
      <c r="H19" s="30">
        <f t="shared" si="9"/>
        <v>0</v>
      </c>
      <c r="I19" s="30">
        <f t="shared" si="9"/>
        <v>0</v>
      </c>
      <c r="J19" s="30">
        <f t="shared" si="9"/>
        <v>0</v>
      </c>
      <c r="K19" s="30">
        <f t="shared" si="9"/>
        <v>0</v>
      </c>
      <c r="L19" s="30">
        <f t="shared" si="9"/>
        <v>0</v>
      </c>
      <c r="M19" s="30">
        <f t="shared" si="9"/>
        <v>0</v>
      </c>
      <c r="N19" s="30">
        <f t="shared" si="9"/>
        <v>0</v>
      </c>
      <c r="O19" s="30">
        <f t="shared" si="9"/>
        <v>0</v>
      </c>
      <c r="P19" s="30">
        <f t="shared" si="9"/>
        <v>0</v>
      </c>
      <c r="Q19" s="30">
        <f t="shared" si="9"/>
        <v>0</v>
      </c>
      <c r="R19" s="30">
        <f t="shared" si="9"/>
        <v>0</v>
      </c>
      <c r="S19" s="30">
        <f t="shared" si="9"/>
        <v>0</v>
      </c>
      <c r="T19" s="30">
        <f t="shared" si="9"/>
        <v>0</v>
      </c>
      <c r="U19" s="30">
        <f t="shared" si="9"/>
        <v>0</v>
      </c>
      <c r="V19" s="30">
        <f t="shared" si="9"/>
        <v>0</v>
      </c>
      <c r="W19" s="30">
        <f t="shared" si="9"/>
        <v>0</v>
      </c>
      <c r="X19" s="30">
        <f t="shared" si="9"/>
        <v>0</v>
      </c>
      <c r="Y19" s="30">
        <f t="shared" si="9"/>
        <v>0</v>
      </c>
      <c r="Z19" s="30">
        <f t="shared" si="9"/>
        <v>0</v>
      </c>
      <c r="AA19" s="30">
        <f t="shared" si="9"/>
        <v>0</v>
      </c>
      <c r="AB19" s="30">
        <f t="shared" si="9"/>
        <v>0</v>
      </c>
      <c r="AC19" s="30">
        <f t="shared" si="9"/>
        <v>0</v>
      </c>
      <c r="AD19" s="30">
        <f t="shared" si="9"/>
        <v>0</v>
      </c>
      <c r="AE19" s="30">
        <f t="shared" si="9"/>
        <v>0</v>
      </c>
      <c r="AF19" s="30">
        <f t="shared" si="9"/>
        <v>0</v>
      </c>
      <c r="AG19" s="30">
        <f t="shared" si="9"/>
        <v>0</v>
      </c>
      <c r="AH19" s="30">
        <f t="shared" si="9"/>
        <v>0</v>
      </c>
      <c r="AI19" s="30">
        <f t="shared" si="9"/>
        <v>0</v>
      </c>
      <c r="AJ19" s="30">
        <f t="shared" si="9"/>
        <v>0</v>
      </c>
      <c r="AK19" s="30">
        <f t="shared" si="9"/>
        <v>0</v>
      </c>
      <c r="AL19" s="30">
        <f t="shared" si="9"/>
        <v>0</v>
      </c>
      <c r="AM19" s="30">
        <f t="shared" si="9"/>
        <v>0</v>
      </c>
      <c r="AN19" s="30">
        <f t="shared" si="9"/>
        <v>0</v>
      </c>
      <c r="AO19" s="30">
        <f t="shared" si="9"/>
        <v>0</v>
      </c>
      <c r="AP19" s="30">
        <f t="shared" si="9"/>
        <v>0</v>
      </c>
      <c r="AQ19" s="30">
        <f t="shared" si="9"/>
        <v>0</v>
      </c>
      <c r="AR19" s="30">
        <f t="shared" si="9"/>
        <v>0</v>
      </c>
      <c r="AS19" s="30">
        <f t="shared" si="9"/>
        <v>0</v>
      </c>
      <c r="AT19" s="30">
        <f t="shared" si="9"/>
        <v>0</v>
      </c>
      <c r="AU19" s="30">
        <f t="shared" si="9"/>
        <v>0</v>
      </c>
      <c r="AV19" s="30">
        <f t="shared" si="9"/>
        <v>0</v>
      </c>
      <c r="AW19" s="30">
        <f t="shared" si="9"/>
        <v>0</v>
      </c>
      <c r="AX19" s="30">
        <f t="shared" si="9"/>
        <v>0</v>
      </c>
      <c r="AY19" s="30">
        <f t="shared" si="9"/>
        <v>0</v>
      </c>
      <c r="AZ19" s="30">
        <f t="shared" si="9"/>
        <v>0</v>
      </c>
      <c r="BA19" s="30">
        <f t="shared" si="9"/>
        <v>0</v>
      </c>
      <c r="BB19" s="30">
        <f t="shared" si="4"/>
        <v>28762280.73</v>
      </c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  <c r="BW19" s="28"/>
      <c r="BX19" s="28"/>
      <c r="BY19" s="28"/>
      <c r="BZ19" s="28"/>
      <c r="CA19" s="28"/>
      <c r="CB19" s="28"/>
      <c r="CC19" s="28"/>
      <c r="CD19" s="28"/>
    </row>
    <row r="20" spans="1:82" x14ac:dyDescent="0.2">
      <c r="A20" t="str">
        <f>A5</f>
        <v>FTTx - Portas Iluminadas</v>
      </c>
      <c r="B20" t="s">
        <v>86</v>
      </c>
      <c r="C20" t="s">
        <v>48</v>
      </c>
      <c r="D20" s="29">
        <f>D5</f>
        <v>11239020</v>
      </c>
      <c r="E20" s="29">
        <f>'Fluxo de pagamentos'!K36</f>
        <v>0</v>
      </c>
      <c r="F20" s="29">
        <f>'Fluxo de pagamentos'!L36</f>
        <v>936585</v>
      </c>
      <c r="G20" s="29">
        <f>'Fluxo de pagamentos'!M36</f>
        <v>936585</v>
      </c>
      <c r="H20" s="29">
        <f>'Fluxo de pagamentos'!N36</f>
        <v>936585</v>
      </c>
      <c r="I20" s="29">
        <f>'Fluxo de pagamentos'!O36</f>
        <v>936585</v>
      </c>
      <c r="J20" s="29">
        <f>'Fluxo de pagamentos'!P36</f>
        <v>936585</v>
      </c>
      <c r="K20" s="29">
        <f>'Fluxo de pagamentos'!Q36</f>
        <v>936585</v>
      </c>
      <c r="L20" s="29">
        <f>'Fluxo de pagamentos'!R36</f>
        <v>936585</v>
      </c>
      <c r="M20" s="29">
        <f>'Fluxo de pagamentos'!S36</f>
        <v>936585</v>
      </c>
      <c r="N20" s="29">
        <f>'Fluxo de pagamentos'!T36</f>
        <v>936585</v>
      </c>
      <c r="O20" s="29">
        <f>'Fluxo de pagamentos'!U36</f>
        <v>936585</v>
      </c>
      <c r="P20" s="29">
        <f>'Fluxo de pagamentos'!V36</f>
        <v>936585</v>
      </c>
      <c r="Q20" s="29">
        <f>'Fluxo de pagamentos'!W36</f>
        <v>936585</v>
      </c>
      <c r="R20" s="29">
        <f>'Fluxo de pagamentos'!X36</f>
        <v>0</v>
      </c>
      <c r="S20" s="29">
        <f>'Fluxo de pagamentos'!Y36</f>
        <v>0</v>
      </c>
      <c r="T20" s="29">
        <f>'Fluxo de pagamentos'!Z36</f>
        <v>0</v>
      </c>
      <c r="U20" s="29">
        <f>'Fluxo de pagamentos'!AA36</f>
        <v>0</v>
      </c>
      <c r="V20" s="29">
        <f>'Fluxo de pagamentos'!AB36</f>
        <v>0</v>
      </c>
      <c r="W20" s="29">
        <f>'Fluxo de pagamentos'!AC36</f>
        <v>0</v>
      </c>
      <c r="X20" s="29">
        <f>'Fluxo de pagamentos'!AD36</f>
        <v>0</v>
      </c>
      <c r="Y20" s="29">
        <f>'Fluxo de pagamentos'!AE36</f>
        <v>0</v>
      </c>
      <c r="Z20" s="29">
        <f>'Fluxo de pagamentos'!AF36</f>
        <v>0</v>
      </c>
      <c r="AA20" s="29">
        <f>'Fluxo de pagamentos'!AG36</f>
        <v>0</v>
      </c>
      <c r="AB20" s="29">
        <f>'Fluxo de pagamentos'!AH36</f>
        <v>0</v>
      </c>
      <c r="AC20" s="29">
        <f>'Fluxo de pagamentos'!AI36</f>
        <v>0</v>
      </c>
      <c r="AD20" s="29">
        <f>'Fluxo de pagamentos'!AJ36</f>
        <v>0</v>
      </c>
      <c r="AE20" s="29">
        <f>'Fluxo de pagamentos'!AK36</f>
        <v>0</v>
      </c>
      <c r="AF20" s="29">
        <f>'Fluxo de pagamentos'!AL36</f>
        <v>0</v>
      </c>
      <c r="AG20" s="29">
        <f>'Fluxo de pagamentos'!AM36</f>
        <v>0</v>
      </c>
      <c r="AH20" s="29">
        <f>'Fluxo de pagamentos'!AN36</f>
        <v>0</v>
      </c>
      <c r="AI20" s="29">
        <f>'Fluxo de pagamentos'!AO36</f>
        <v>0</v>
      </c>
      <c r="AJ20" s="29">
        <f>'Fluxo de pagamentos'!AP36</f>
        <v>0</v>
      </c>
      <c r="AK20" s="29">
        <f>'Fluxo de pagamentos'!AQ36</f>
        <v>0</v>
      </c>
      <c r="AL20" s="29">
        <f>'Fluxo de pagamentos'!AR36</f>
        <v>0</v>
      </c>
      <c r="AM20" s="29">
        <f>'Fluxo de pagamentos'!AS36</f>
        <v>0</v>
      </c>
      <c r="AN20" s="29">
        <f>'Fluxo de pagamentos'!AT36</f>
        <v>0</v>
      </c>
      <c r="AO20" s="29">
        <f>'Fluxo de pagamentos'!AU36</f>
        <v>0</v>
      </c>
      <c r="AP20" s="29">
        <f>'Fluxo de pagamentos'!AV36</f>
        <v>0</v>
      </c>
      <c r="AQ20" s="29">
        <f>'Fluxo de pagamentos'!AW36</f>
        <v>0</v>
      </c>
      <c r="AR20" s="29">
        <f>'Fluxo de pagamentos'!AX36</f>
        <v>0</v>
      </c>
      <c r="AS20" s="29">
        <f>'Fluxo de pagamentos'!AY36</f>
        <v>0</v>
      </c>
      <c r="AT20" s="29">
        <f>'Fluxo de pagamentos'!AZ36</f>
        <v>0</v>
      </c>
      <c r="AU20" s="29">
        <f>'Fluxo de pagamentos'!BA36</f>
        <v>0</v>
      </c>
      <c r="AV20" s="29">
        <f>'Fluxo de pagamentos'!BB36</f>
        <v>0</v>
      </c>
      <c r="AW20" s="29">
        <f>'Fluxo de pagamentos'!BC36</f>
        <v>0</v>
      </c>
      <c r="AX20" s="29">
        <f>'Fluxo de pagamentos'!BD36</f>
        <v>0</v>
      </c>
      <c r="AY20" s="29">
        <f>'Fluxo de pagamentos'!BE36</f>
        <v>0</v>
      </c>
      <c r="AZ20" s="29">
        <f>'Fluxo de pagamentos'!BF36</f>
        <v>0</v>
      </c>
      <c r="BA20" s="29">
        <f>'Fluxo de pagamentos'!BG36</f>
        <v>0</v>
      </c>
      <c r="BB20" s="30">
        <f t="shared" si="4"/>
        <v>11239020</v>
      </c>
    </row>
    <row r="21" spans="1:82" x14ac:dyDescent="0.2">
      <c r="A21" t="str">
        <f>A6</f>
        <v>Setup</v>
      </c>
      <c r="B21" t="s">
        <v>85</v>
      </c>
      <c r="C21" t="s">
        <v>51</v>
      </c>
      <c r="D21" s="29">
        <f>D6</f>
        <v>44560980.313019089</v>
      </c>
      <c r="E21" s="29">
        <f>'Fluxo de pagamentos'!K37</f>
        <v>21432792.093905725</v>
      </c>
      <c r="F21" s="29">
        <f>'Fluxo de pagamentos'!L37</f>
        <v>319098.83000000007</v>
      </c>
      <c r="G21" s="29">
        <f>'Fluxo de pagamentos'!M37</f>
        <v>319098.83000000007</v>
      </c>
      <c r="H21" s="29">
        <f>'Fluxo de pagamentos'!N37</f>
        <v>319098.83000000007</v>
      </c>
      <c r="I21" s="29">
        <f>'Fluxo de pagamentos'!O37</f>
        <v>268692.50666666654</v>
      </c>
      <c r="J21" s="29">
        <f>'Fluxo de pagamentos'!P37</f>
        <v>268692.50666666654</v>
      </c>
      <c r="K21" s="29">
        <f>'Fluxo de pagamentos'!Q37</f>
        <v>268692.50666666654</v>
      </c>
      <c r="L21" s="29">
        <f>'Fluxo de pagamentos'!R37</f>
        <v>358286.56666666671</v>
      </c>
      <c r="M21" s="29">
        <f>'Fluxo de pagamentos'!S37</f>
        <v>358286.56666666671</v>
      </c>
      <c r="N21" s="29">
        <f>'Fluxo de pagamentos'!T37</f>
        <v>358286.56666666671</v>
      </c>
      <c r="O21" s="29">
        <f>'Fluxo de pagamentos'!U37</f>
        <v>654957.52333333308</v>
      </c>
      <c r="P21" s="29">
        <f>'Fluxo de pagamentos'!V37</f>
        <v>654957.52333333308</v>
      </c>
      <c r="Q21" s="29">
        <f>'Fluxo de pagamentos'!W37</f>
        <v>654957.52333333308</v>
      </c>
      <c r="R21" s="29">
        <f>'Fluxo de pagamentos'!X37</f>
        <v>0</v>
      </c>
      <c r="S21" s="29">
        <f>'Fluxo de pagamentos'!Y37</f>
        <v>0</v>
      </c>
      <c r="T21" s="29">
        <f>'Fluxo de pagamentos'!Z37</f>
        <v>0</v>
      </c>
      <c r="U21" s="29">
        <f>'Fluxo de pagamentos'!AA37</f>
        <v>0</v>
      </c>
      <c r="V21" s="29">
        <f>'Fluxo de pagamentos'!AB37</f>
        <v>0</v>
      </c>
      <c r="W21" s="29">
        <f>'Fluxo de pagamentos'!AC37</f>
        <v>0</v>
      </c>
      <c r="X21" s="29">
        <f>'Fluxo de pagamentos'!AD37</f>
        <v>0</v>
      </c>
      <c r="Y21" s="29">
        <f>'Fluxo de pagamentos'!AE37</f>
        <v>0</v>
      </c>
      <c r="Z21" s="29">
        <f>'Fluxo de pagamentos'!AF37</f>
        <v>0</v>
      </c>
      <c r="AA21" s="29">
        <f>'Fluxo de pagamentos'!AG37</f>
        <v>0</v>
      </c>
      <c r="AB21" s="29">
        <f>'Fluxo de pagamentos'!AH37</f>
        <v>0</v>
      </c>
      <c r="AC21" s="29">
        <f>'Fluxo de pagamentos'!AI37</f>
        <v>18325081.939113364</v>
      </c>
      <c r="AD21" s="29">
        <f>'Fluxo de pagamentos'!AJ37</f>
        <v>0</v>
      </c>
      <c r="AE21" s="29">
        <f>'Fluxo de pagamentos'!AK37</f>
        <v>0</v>
      </c>
      <c r="AF21" s="29">
        <f>'Fluxo de pagamentos'!AL37</f>
        <v>0</v>
      </c>
      <c r="AG21" s="29">
        <f>'Fluxo de pagamentos'!AM37</f>
        <v>0</v>
      </c>
      <c r="AH21" s="29">
        <f>'Fluxo de pagamentos'!AN37</f>
        <v>0</v>
      </c>
      <c r="AI21" s="29">
        <f>'Fluxo de pagamentos'!AO37</f>
        <v>0</v>
      </c>
      <c r="AJ21" s="29">
        <f>'Fluxo de pagamentos'!AP37</f>
        <v>0</v>
      </c>
      <c r="AK21" s="29">
        <f>'Fluxo de pagamentos'!AQ37</f>
        <v>0</v>
      </c>
      <c r="AL21" s="29">
        <f>'Fluxo de pagamentos'!AR37</f>
        <v>0</v>
      </c>
      <c r="AM21" s="29">
        <f>'Fluxo de pagamentos'!AS37</f>
        <v>0</v>
      </c>
      <c r="AN21" s="29">
        <f>'Fluxo de pagamentos'!AT37</f>
        <v>0</v>
      </c>
      <c r="AO21" s="29">
        <f>'Fluxo de pagamentos'!AU37</f>
        <v>0</v>
      </c>
      <c r="AP21" s="29">
        <f>'Fluxo de pagamentos'!AV37</f>
        <v>0</v>
      </c>
      <c r="AQ21" s="29">
        <f>'Fluxo de pagamentos'!AW37</f>
        <v>0</v>
      </c>
      <c r="AR21" s="29">
        <f>'Fluxo de pagamentos'!AX37</f>
        <v>0</v>
      </c>
      <c r="AS21" s="29">
        <f>'Fluxo de pagamentos'!AY37</f>
        <v>0</v>
      </c>
      <c r="AT21" s="29">
        <f>'Fluxo de pagamentos'!AZ37</f>
        <v>0</v>
      </c>
      <c r="AU21" s="29">
        <f>'Fluxo de pagamentos'!BA37</f>
        <v>0</v>
      </c>
      <c r="AV21" s="29">
        <f>'Fluxo de pagamentos'!BB37</f>
        <v>0</v>
      </c>
      <c r="AW21" s="29">
        <f>'Fluxo de pagamentos'!BC37</f>
        <v>0</v>
      </c>
      <c r="AX21" s="29">
        <f>'Fluxo de pagamentos'!BD37</f>
        <v>0</v>
      </c>
      <c r="AY21" s="29">
        <f>'Fluxo de pagamentos'!BE37</f>
        <v>0</v>
      </c>
      <c r="AZ21" s="29">
        <f>'Fluxo de pagamentos'!BF37</f>
        <v>0</v>
      </c>
      <c r="BA21" s="29">
        <f>'Fluxo de pagamentos'!BG37</f>
        <v>0</v>
      </c>
      <c r="BB21" s="30">
        <f t="shared" si="4"/>
        <v>44560980.313019082</v>
      </c>
      <c r="BC21" s="30">
        <f>BB6-BB21</f>
        <v>0</v>
      </c>
    </row>
    <row r="22" spans="1:82" x14ac:dyDescent="0.2">
      <c r="A22" t="str">
        <f>A7</f>
        <v>Serviço Suporte N3</v>
      </c>
      <c r="B22" t="s">
        <v>85</v>
      </c>
      <c r="C22" t="s">
        <v>51</v>
      </c>
      <c r="D22" s="29">
        <f>D7</f>
        <v>3242640</v>
      </c>
      <c r="E22" s="29">
        <f>'Fluxo de pagamentos'!K38</f>
        <v>0</v>
      </c>
      <c r="F22" s="29">
        <f>'Fluxo de pagamentos'!L38</f>
        <v>270220</v>
      </c>
      <c r="G22" s="29">
        <f>'Fluxo de pagamentos'!M38</f>
        <v>270220</v>
      </c>
      <c r="H22" s="29">
        <f>'Fluxo de pagamentos'!N38</f>
        <v>270220</v>
      </c>
      <c r="I22" s="29">
        <f>'Fluxo de pagamentos'!O38</f>
        <v>270220</v>
      </c>
      <c r="J22" s="29">
        <f>'Fluxo de pagamentos'!P38</f>
        <v>270220</v>
      </c>
      <c r="K22" s="29">
        <f>'Fluxo de pagamentos'!Q38</f>
        <v>270220</v>
      </c>
      <c r="L22" s="29">
        <f>'Fluxo de pagamentos'!R38</f>
        <v>270220</v>
      </c>
      <c r="M22" s="29">
        <f>'Fluxo de pagamentos'!S38</f>
        <v>270220</v>
      </c>
      <c r="N22" s="29">
        <f>'Fluxo de pagamentos'!T38</f>
        <v>270220</v>
      </c>
      <c r="O22" s="29">
        <f>'Fluxo de pagamentos'!U38</f>
        <v>270220</v>
      </c>
      <c r="P22" s="29">
        <f>'Fluxo de pagamentos'!V38</f>
        <v>270220</v>
      </c>
      <c r="Q22" s="29">
        <f>'Fluxo de pagamentos'!W38</f>
        <v>270220</v>
      </c>
      <c r="R22" s="29">
        <f>'Fluxo de pagamentos'!X38</f>
        <v>0</v>
      </c>
      <c r="S22" s="29">
        <f>'Fluxo de pagamentos'!Y38</f>
        <v>0</v>
      </c>
      <c r="T22" s="29">
        <f>'Fluxo de pagamentos'!Z38</f>
        <v>0</v>
      </c>
      <c r="U22" s="29">
        <f>'Fluxo de pagamentos'!AA38</f>
        <v>0</v>
      </c>
      <c r="V22" s="29">
        <f>'Fluxo de pagamentos'!AB38</f>
        <v>0</v>
      </c>
      <c r="W22" s="29">
        <f>'Fluxo de pagamentos'!AC38</f>
        <v>0</v>
      </c>
      <c r="X22" s="29">
        <f>'Fluxo de pagamentos'!AD38</f>
        <v>0</v>
      </c>
      <c r="Y22" s="29">
        <f>'Fluxo de pagamentos'!AE38</f>
        <v>0</v>
      </c>
      <c r="Z22" s="29">
        <f>'Fluxo de pagamentos'!AF38</f>
        <v>0</v>
      </c>
      <c r="AA22" s="29">
        <f>'Fluxo de pagamentos'!AG38</f>
        <v>0</v>
      </c>
      <c r="AB22" s="29">
        <f>'Fluxo de pagamentos'!AH38</f>
        <v>0</v>
      </c>
      <c r="AC22" s="29">
        <f>'Fluxo de pagamentos'!AI38</f>
        <v>0</v>
      </c>
      <c r="AD22" s="29">
        <f>'Fluxo de pagamentos'!AJ38</f>
        <v>0</v>
      </c>
      <c r="AE22" s="29">
        <f>'Fluxo de pagamentos'!AK38</f>
        <v>0</v>
      </c>
      <c r="AF22" s="29">
        <f>'Fluxo de pagamentos'!AL38</f>
        <v>0</v>
      </c>
      <c r="AG22" s="29">
        <f>'Fluxo de pagamentos'!AM38</f>
        <v>0</v>
      </c>
      <c r="AH22" s="29">
        <f>'Fluxo de pagamentos'!AN38</f>
        <v>0</v>
      </c>
      <c r="AI22" s="29">
        <f>'Fluxo de pagamentos'!AO38</f>
        <v>0</v>
      </c>
      <c r="AJ22" s="29">
        <f>'Fluxo de pagamentos'!AP38</f>
        <v>0</v>
      </c>
      <c r="AK22" s="29">
        <f>'Fluxo de pagamentos'!AQ38</f>
        <v>0</v>
      </c>
      <c r="AL22" s="29">
        <f>'Fluxo de pagamentos'!AR38</f>
        <v>0</v>
      </c>
      <c r="AM22" s="29">
        <f>'Fluxo de pagamentos'!AS38</f>
        <v>0</v>
      </c>
      <c r="AN22" s="29">
        <f>'Fluxo de pagamentos'!AT38</f>
        <v>0</v>
      </c>
      <c r="AO22" s="29">
        <f>'Fluxo de pagamentos'!AU38</f>
        <v>0</v>
      </c>
      <c r="AP22" s="29">
        <f>'Fluxo de pagamentos'!AV38</f>
        <v>0</v>
      </c>
      <c r="AQ22" s="29">
        <f>'Fluxo de pagamentos'!AW38</f>
        <v>0</v>
      </c>
      <c r="AR22" s="29">
        <f>'Fluxo de pagamentos'!AX38</f>
        <v>0</v>
      </c>
      <c r="AS22" s="29">
        <f>'Fluxo de pagamentos'!AY38</f>
        <v>0</v>
      </c>
      <c r="AT22" s="29">
        <f>'Fluxo de pagamentos'!AZ38</f>
        <v>0</v>
      </c>
      <c r="AU22" s="29">
        <f>'Fluxo de pagamentos'!BA38</f>
        <v>0</v>
      </c>
      <c r="AV22" s="29">
        <f>'Fluxo de pagamentos'!BB38</f>
        <v>0</v>
      </c>
      <c r="AW22" s="29">
        <f>'Fluxo de pagamentos'!BC38</f>
        <v>0</v>
      </c>
      <c r="AX22" s="29">
        <f>'Fluxo de pagamentos'!BD38</f>
        <v>0</v>
      </c>
      <c r="AY22" s="29">
        <f>'Fluxo de pagamentos'!BE38</f>
        <v>0</v>
      </c>
      <c r="AZ22" s="29">
        <f>'Fluxo de pagamentos'!BF38</f>
        <v>0</v>
      </c>
      <c r="BA22" s="29">
        <f>'Fluxo de pagamentos'!BG38</f>
        <v>0</v>
      </c>
      <c r="BB22" s="30">
        <f t="shared" si="4"/>
        <v>3242640</v>
      </c>
    </row>
    <row r="23" spans="1:82" x14ac:dyDescent="0.2">
      <c r="A23" t="s">
        <v>84</v>
      </c>
      <c r="D23" s="29">
        <f t="shared" ref="D23:AI23" si="10">SUM(D20:D22)</f>
        <v>59042640.313019089</v>
      </c>
      <c r="E23" s="29">
        <f t="shared" si="10"/>
        <v>21432792.093905725</v>
      </c>
      <c r="F23" s="29">
        <f t="shared" si="10"/>
        <v>1525903.83</v>
      </c>
      <c r="G23" s="29">
        <f t="shared" si="10"/>
        <v>1525903.83</v>
      </c>
      <c r="H23" s="29">
        <f t="shared" si="10"/>
        <v>1525903.83</v>
      </c>
      <c r="I23" s="29">
        <f t="shared" si="10"/>
        <v>1475497.5066666666</v>
      </c>
      <c r="J23" s="29">
        <f t="shared" si="10"/>
        <v>1475497.5066666666</v>
      </c>
      <c r="K23" s="29">
        <f t="shared" si="10"/>
        <v>1475497.5066666666</v>
      </c>
      <c r="L23" s="29">
        <f t="shared" si="10"/>
        <v>1565091.5666666667</v>
      </c>
      <c r="M23" s="29">
        <f t="shared" si="10"/>
        <v>1565091.5666666667</v>
      </c>
      <c r="N23" s="29">
        <f t="shared" si="10"/>
        <v>1565091.5666666667</v>
      </c>
      <c r="O23" s="29">
        <f t="shared" si="10"/>
        <v>1861762.523333333</v>
      </c>
      <c r="P23" s="29">
        <f t="shared" si="10"/>
        <v>1861762.523333333</v>
      </c>
      <c r="Q23" s="29">
        <f t="shared" si="10"/>
        <v>1861762.523333333</v>
      </c>
      <c r="R23" s="29">
        <f t="shared" si="10"/>
        <v>0</v>
      </c>
      <c r="S23" s="29">
        <f t="shared" si="10"/>
        <v>0</v>
      </c>
      <c r="T23" s="29">
        <f t="shared" si="10"/>
        <v>0</v>
      </c>
      <c r="U23" s="29">
        <f t="shared" si="10"/>
        <v>0</v>
      </c>
      <c r="V23" s="29">
        <f t="shared" si="10"/>
        <v>0</v>
      </c>
      <c r="W23" s="29">
        <f t="shared" si="10"/>
        <v>0</v>
      </c>
      <c r="X23" s="29">
        <f t="shared" si="10"/>
        <v>0</v>
      </c>
      <c r="Y23" s="29">
        <f t="shared" si="10"/>
        <v>0</v>
      </c>
      <c r="Z23" s="29">
        <f t="shared" si="10"/>
        <v>0</v>
      </c>
      <c r="AA23" s="29">
        <f t="shared" si="10"/>
        <v>0</v>
      </c>
      <c r="AB23" s="29">
        <f t="shared" si="10"/>
        <v>0</v>
      </c>
      <c r="AC23" s="29">
        <f t="shared" si="10"/>
        <v>18325081.939113364</v>
      </c>
      <c r="AD23" s="29">
        <f t="shared" si="10"/>
        <v>0</v>
      </c>
      <c r="AE23" s="29">
        <f t="shared" si="10"/>
        <v>0</v>
      </c>
      <c r="AF23" s="29">
        <f t="shared" si="10"/>
        <v>0</v>
      </c>
      <c r="AG23" s="29">
        <f t="shared" si="10"/>
        <v>0</v>
      </c>
      <c r="AH23" s="29">
        <f t="shared" si="10"/>
        <v>0</v>
      </c>
      <c r="AI23" s="29">
        <f t="shared" si="10"/>
        <v>0</v>
      </c>
      <c r="AJ23" s="29">
        <f t="shared" ref="AJ23:BO23" si="11">SUM(AJ20:AJ22)</f>
        <v>0</v>
      </c>
      <c r="AK23" s="29">
        <f t="shared" si="11"/>
        <v>0</v>
      </c>
      <c r="AL23" s="29">
        <f t="shared" si="11"/>
        <v>0</v>
      </c>
      <c r="AM23" s="29">
        <f t="shared" si="11"/>
        <v>0</v>
      </c>
      <c r="AN23" s="29">
        <f t="shared" si="11"/>
        <v>0</v>
      </c>
      <c r="AO23" s="29">
        <f t="shared" si="11"/>
        <v>0</v>
      </c>
      <c r="AP23" s="29">
        <f t="shared" si="11"/>
        <v>0</v>
      </c>
      <c r="AQ23" s="29">
        <f t="shared" si="11"/>
        <v>0</v>
      </c>
      <c r="AR23" s="29">
        <f t="shared" si="11"/>
        <v>0</v>
      </c>
      <c r="AS23" s="29">
        <f t="shared" si="11"/>
        <v>0</v>
      </c>
      <c r="AT23" s="29">
        <f t="shared" si="11"/>
        <v>0</v>
      </c>
      <c r="AU23" s="29">
        <f t="shared" si="11"/>
        <v>0</v>
      </c>
      <c r="AV23" s="29">
        <f t="shared" si="11"/>
        <v>0</v>
      </c>
      <c r="AW23" s="29">
        <f t="shared" si="11"/>
        <v>0</v>
      </c>
      <c r="AX23" s="29">
        <f t="shared" si="11"/>
        <v>0</v>
      </c>
      <c r="AY23" s="29">
        <f t="shared" si="11"/>
        <v>0</v>
      </c>
      <c r="AZ23" s="29">
        <f t="shared" si="11"/>
        <v>0</v>
      </c>
      <c r="BA23" s="29">
        <f t="shared" si="11"/>
        <v>0</v>
      </c>
      <c r="BB23" s="29">
        <f t="shared" si="11"/>
        <v>59042640.313019082</v>
      </c>
    </row>
    <row r="24" spans="1:82" x14ac:dyDescent="0.2">
      <c r="A24" t="s">
        <v>77</v>
      </c>
      <c r="D24" s="29">
        <f>D15+D18+D19+D23</f>
        <v>165300000</v>
      </c>
      <c r="E24" s="29">
        <f t="shared" ref="E24:BA24" si="12">E15+E18+E19+E23</f>
        <v>66119999.999999993</v>
      </c>
      <c r="F24" s="29">
        <f t="shared" si="12"/>
        <v>1525903.83</v>
      </c>
      <c r="G24" s="29">
        <f t="shared" si="12"/>
        <v>2297918.92</v>
      </c>
      <c r="H24" s="29">
        <f t="shared" si="12"/>
        <v>2377927.25</v>
      </c>
      <c r="I24" s="29">
        <f t="shared" si="12"/>
        <v>2247512.5966666667</v>
      </c>
      <c r="J24" s="29">
        <f t="shared" si="12"/>
        <v>2015610.6166666667</v>
      </c>
      <c r="K24" s="29">
        <f t="shared" si="12"/>
        <v>1935626.7866666666</v>
      </c>
      <c r="L24" s="29">
        <f t="shared" si="12"/>
        <v>2102903.0866666669</v>
      </c>
      <c r="M24" s="29">
        <f t="shared" si="12"/>
        <v>2008723.9266666668</v>
      </c>
      <c r="N24" s="29">
        <f t="shared" si="12"/>
        <v>2087122.9866666668</v>
      </c>
      <c r="O24" s="29">
        <f t="shared" si="12"/>
        <v>2066247.2233333329</v>
      </c>
      <c r="P24" s="29">
        <f t="shared" si="12"/>
        <v>2066255.553333333</v>
      </c>
      <c r="Q24" s="29">
        <f t="shared" si="12"/>
        <v>2066247.2233333329</v>
      </c>
      <c r="R24" s="29">
        <f t="shared" si="12"/>
        <v>204493.03</v>
      </c>
      <c r="S24" s="29">
        <f t="shared" si="12"/>
        <v>201801.96</v>
      </c>
      <c r="T24" s="29">
        <f t="shared" si="12"/>
        <v>201810.33</v>
      </c>
      <c r="U24" s="29">
        <f t="shared" si="12"/>
        <v>85143.59</v>
      </c>
      <c r="V24" s="29">
        <f t="shared" si="12"/>
        <v>85143.59</v>
      </c>
      <c r="W24" s="29">
        <f t="shared" si="12"/>
        <v>82669.48000000001</v>
      </c>
      <c r="X24" s="29">
        <f t="shared" si="12"/>
        <v>80301.69</v>
      </c>
      <c r="Y24" s="29">
        <f t="shared" si="12"/>
        <v>80301.69</v>
      </c>
      <c r="Z24" s="29">
        <f t="shared" si="12"/>
        <v>80301.69</v>
      </c>
      <c r="AA24" s="29">
        <f t="shared" si="12"/>
        <v>0</v>
      </c>
      <c r="AB24" s="29">
        <f t="shared" si="12"/>
        <v>0</v>
      </c>
      <c r="AC24" s="29">
        <f t="shared" si="12"/>
        <v>23690032.950000003</v>
      </c>
      <c r="AD24" s="29">
        <f t="shared" si="12"/>
        <v>0</v>
      </c>
      <c r="AE24" s="29">
        <f t="shared" si="12"/>
        <v>0</v>
      </c>
      <c r="AF24" s="29">
        <f t="shared" si="12"/>
        <v>0</v>
      </c>
      <c r="AG24" s="29">
        <f t="shared" si="12"/>
        <v>0</v>
      </c>
      <c r="AH24" s="29">
        <f t="shared" si="12"/>
        <v>0</v>
      </c>
      <c r="AI24" s="29">
        <f t="shared" si="12"/>
        <v>0</v>
      </c>
      <c r="AJ24" s="29">
        <f t="shared" si="12"/>
        <v>0</v>
      </c>
      <c r="AK24" s="29">
        <f t="shared" si="12"/>
        <v>0</v>
      </c>
      <c r="AL24" s="29">
        <f t="shared" si="12"/>
        <v>0</v>
      </c>
      <c r="AM24" s="29">
        <f t="shared" si="12"/>
        <v>0</v>
      </c>
      <c r="AN24" s="29">
        <f t="shared" si="12"/>
        <v>0</v>
      </c>
      <c r="AO24" s="29">
        <f t="shared" si="12"/>
        <v>24795000</v>
      </c>
      <c r="AP24" s="29">
        <f t="shared" si="12"/>
        <v>0</v>
      </c>
      <c r="AQ24" s="29">
        <f t="shared" si="12"/>
        <v>0</v>
      </c>
      <c r="AR24" s="29">
        <f t="shared" si="12"/>
        <v>0</v>
      </c>
      <c r="AS24" s="29">
        <f t="shared" si="12"/>
        <v>0</v>
      </c>
      <c r="AT24" s="29">
        <f t="shared" si="12"/>
        <v>0</v>
      </c>
      <c r="AU24" s="29">
        <f t="shared" si="12"/>
        <v>0</v>
      </c>
      <c r="AV24" s="29">
        <f t="shared" si="12"/>
        <v>0</v>
      </c>
      <c r="AW24" s="29">
        <f t="shared" si="12"/>
        <v>0</v>
      </c>
      <c r="AX24" s="29">
        <f t="shared" si="12"/>
        <v>0</v>
      </c>
      <c r="AY24" s="29">
        <f t="shared" si="12"/>
        <v>0</v>
      </c>
      <c r="AZ24" s="29">
        <f t="shared" si="12"/>
        <v>0</v>
      </c>
      <c r="BA24" s="29">
        <f t="shared" si="12"/>
        <v>24795000</v>
      </c>
      <c r="BB24" s="30">
        <f>BB15+BB18+BB19+BB23</f>
        <v>165300000</v>
      </c>
      <c r="BC24" s="30"/>
    </row>
    <row r="25" spans="1:82" x14ac:dyDescent="0.2"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30"/>
    </row>
    <row r="45" spans="5:5" x14ac:dyDescent="0.2">
      <c r="E45" s="29"/>
    </row>
    <row r="48" spans="5:5" x14ac:dyDescent="0.2">
      <c r="E48" s="29"/>
    </row>
    <row r="50" spans="5:5" x14ac:dyDescent="0.2">
      <c r="E50" s="30"/>
    </row>
    <row r="51" spans="5:5" x14ac:dyDescent="0.2">
      <c r="E51" s="30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8DFE5-209B-2241-8847-333DF7C258A2}">
  <dimension ref="A2:BA56"/>
  <sheetViews>
    <sheetView tabSelected="1" zoomScale="115" workbookViewId="0">
      <pane xSplit="2" ySplit="4" topLeftCell="C24" activePane="bottomRight" state="frozen"/>
      <selection pane="topRight" activeCell="C1" sqref="C1"/>
      <selection pane="bottomLeft" activeCell="A5" sqref="A5"/>
      <selection pane="bottomRight" activeCell="B34" sqref="B34"/>
    </sheetView>
  </sheetViews>
  <sheetFormatPr baseColWidth="10" defaultRowHeight="15" x14ac:dyDescent="0.2"/>
  <cols>
    <col min="1" max="1" width="21" customWidth="1"/>
    <col min="2" max="2" width="20.83203125" bestFit="1" customWidth="1"/>
    <col min="3" max="5" width="12.6640625" bestFit="1" customWidth="1"/>
    <col min="6" max="7" width="13" customWidth="1"/>
    <col min="8" max="8" width="12.6640625" bestFit="1" customWidth="1"/>
    <col min="9" max="16" width="11.1640625" bestFit="1" customWidth="1"/>
    <col min="17" max="22" width="11" bestFit="1" customWidth="1"/>
    <col min="23" max="23" width="12.83203125" bestFit="1" customWidth="1"/>
  </cols>
  <sheetData>
    <row r="2" spans="1:23" s="33" customFormat="1" ht="32" x14ac:dyDescent="0.2">
      <c r="A2" s="50" t="s">
        <v>92</v>
      </c>
      <c r="B2" s="50"/>
      <c r="C2" s="34" t="s">
        <v>79</v>
      </c>
      <c r="D2" s="34" t="s">
        <v>79</v>
      </c>
      <c r="E2" s="34" t="s">
        <v>79</v>
      </c>
      <c r="F2" s="34" t="s">
        <v>79</v>
      </c>
      <c r="G2" s="34" t="s">
        <v>79</v>
      </c>
      <c r="H2" s="34" t="s">
        <v>79</v>
      </c>
      <c r="I2" s="34" t="s">
        <v>79</v>
      </c>
      <c r="J2" s="34" t="s">
        <v>79</v>
      </c>
      <c r="K2" s="34" t="s">
        <v>79</v>
      </c>
      <c r="L2" s="34" t="s">
        <v>79</v>
      </c>
      <c r="M2" s="34" t="s">
        <v>79</v>
      </c>
      <c r="N2" s="34" t="s">
        <v>79</v>
      </c>
      <c r="O2" s="34" t="s">
        <v>79</v>
      </c>
      <c r="P2" s="34" t="s">
        <v>79</v>
      </c>
      <c r="Q2" s="34" t="s">
        <v>79</v>
      </c>
      <c r="R2" s="34" t="s">
        <v>79</v>
      </c>
      <c r="S2" s="34" t="s">
        <v>79</v>
      </c>
      <c r="T2" s="34" t="s">
        <v>79</v>
      </c>
      <c r="U2" s="34" t="s">
        <v>79</v>
      </c>
      <c r="V2" s="34" t="s">
        <v>79</v>
      </c>
      <c r="W2" s="48" t="s">
        <v>74</v>
      </c>
    </row>
    <row r="3" spans="1:23" x14ac:dyDescent="0.2">
      <c r="A3" s="50"/>
      <c r="B3" s="50"/>
      <c r="C3" s="28">
        <v>46295</v>
      </c>
      <c r="D3" s="28">
        <v>46326</v>
      </c>
      <c r="E3" s="28">
        <v>46356</v>
      </c>
      <c r="F3" s="28">
        <v>46387</v>
      </c>
      <c r="G3" s="28">
        <v>46418</v>
      </c>
      <c r="H3" s="28">
        <v>46446</v>
      </c>
      <c r="I3" s="28">
        <v>46477</v>
      </c>
      <c r="J3" s="28">
        <v>46507</v>
      </c>
      <c r="K3" s="28">
        <v>46538</v>
      </c>
      <c r="L3" s="28">
        <v>46568</v>
      </c>
      <c r="M3" s="28">
        <v>46599</v>
      </c>
      <c r="N3" s="28">
        <v>46630</v>
      </c>
      <c r="O3" s="28">
        <v>46660</v>
      </c>
      <c r="P3" s="28">
        <v>46691</v>
      </c>
      <c r="Q3" s="28">
        <v>46721</v>
      </c>
      <c r="R3" s="28">
        <v>46752</v>
      </c>
      <c r="S3" s="28">
        <v>46783</v>
      </c>
      <c r="T3" s="28">
        <v>46812</v>
      </c>
      <c r="U3" s="28">
        <v>46843</v>
      </c>
      <c r="V3" s="28">
        <v>46873</v>
      </c>
      <c r="W3" s="48"/>
    </row>
    <row r="4" spans="1:23" s="33" customFormat="1" ht="32" x14ac:dyDescent="0.2">
      <c r="A4" s="44" t="s">
        <v>98</v>
      </c>
      <c r="B4" s="34" t="s">
        <v>93</v>
      </c>
      <c r="C4" s="32">
        <f>'Fluxo de pagamentos'!M8</f>
        <v>772015.09</v>
      </c>
      <c r="D4" s="32">
        <f>'Fluxo de pagamentos'!N8</f>
        <v>852023.41999999993</v>
      </c>
      <c r="E4" s="32">
        <f>'Fluxo de pagamentos'!O8</f>
        <v>772015.09</v>
      </c>
      <c r="F4" s="32">
        <f>'Fluxo de pagamentos'!P8</f>
        <v>540113.11</v>
      </c>
      <c r="G4" s="32">
        <f>'Fluxo de pagamentos'!Q8</f>
        <v>460129.27999999997</v>
      </c>
      <c r="H4" s="32">
        <f>'Fluxo de pagamentos'!R8</f>
        <v>537811.52</v>
      </c>
      <c r="I4" s="32">
        <f>'Fluxo de pagamentos'!S8</f>
        <v>443632.36</v>
      </c>
      <c r="J4" s="32">
        <f>'Fluxo de pagamentos'!T8</f>
        <v>522031.42</v>
      </c>
      <c r="K4" s="32">
        <f>'Fluxo de pagamentos'!U8</f>
        <v>204484.7</v>
      </c>
      <c r="L4" s="32">
        <f>'Fluxo de pagamentos'!V8</f>
        <v>204493.03</v>
      </c>
      <c r="M4" s="32">
        <f>'Fluxo de pagamentos'!W8</f>
        <v>204484.7</v>
      </c>
      <c r="N4" s="32">
        <f>'Fluxo de pagamentos'!X8</f>
        <v>204493.03</v>
      </c>
      <c r="O4" s="32">
        <f>'Fluxo de pagamentos'!Y8</f>
        <v>201801.96</v>
      </c>
      <c r="P4" s="32">
        <f>'Fluxo de pagamentos'!Z8</f>
        <v>201810.33</v>
      </c>
      <c r="Q4" s="32">
        <f>'Fluxo de pagamentos'!AA8</f>
        <v>85143.59</v>
      </c>
      <c r="R4" s="32">
        <f>'Fluxo de pagamentos'!AB8</f>
        <v>85143.59</v>
      </c>
      <c r="S4" s="32">
        <f>'Fluxo de pagamentos'!AC8</f>
        <v>82669.48000000001</v>
      </c>
      <c r="T4" s="32">
        <f>'Fluxo de pagamentos'!AD8</f>
        <v>80301.69</v>
      </c>
      <c r="U4" s="32">
        <f>'Fluxo de pagamentos'!AE8</f>
        <v>80301.69</v>
      </c>
      <c r="V4" s="32">
        <f>'Fluxo de pagamentos'!AF8</f>
        <v>80301.69</v>
      </c>
      <c r="W4" s="41">
        <f t="shared" ref="W4:W20" si="0">SUM(C4:V4)</f>
        <v>6615200.7700000014</v>
      </c>
    </row>
    <row r="5" spans="1:23" x14ac:dyDescent="0.2">
      <c r="A5" t="s">
        <v>1</v>
      </c>
      <c r="B5" t="s">
        <v>95</v>
      </c>
      <c r="C5" s="29">
        <f>'Fluxo de pagamentos'!M9</f>
        <v>0</v>
      </c>
      <c r="D5" s="29">
        <f>'Fluxo de pagamentos'!N9</f>
        <v>116666.66</v>
      </c>
      <c r="E5" s="29">
        <f>'Fluxo de pagamentos'!O9</f>
        <v>0</v>
      </c>
      <c r="F5" s="29">
        <f>'Fluxo de pagamentos'!P9</f>
        <v>116666.66</v>
      </c>
      <c r="G5" s="29">
        <f>'Fluxo de pagamentos'!Q9</f>
        <v>0</v>
      </c>
      <c r="H5" s="29">
        <f>'Fluxo de pagamentos'!R9</f>
        <v>116666.66</v>
      </c>
      <c r="I5" s="29">
        <f>'Fluxo de pagamentos'!S9</f>
        <v>0</v>
      </c>
      <c r="J5" s="29">
        <f>'Fluxo de pagamentos'!T9</f>
        <v>116666.66</v>
      </c>
      <c r="K5" s="29">
        <f>'Fluxo de pagamentos'!U9</f>
        <v>0</v>
      </c>
      <c r="L5" s="29">
        <f>'Fluxo de pagamentos'!V9</f>
        <v>116666.66</v>
      </c>
      <c r="M5" s="29">
        <f>'Fluxo de pagamentos'!W9</f>
        <v>0</v>
      </c>
      <c r="N5" s="29">
        <f>'Fluxo de pagamentos'!X9</f>
        <v>116666.66</v>
      </c>
      <c r="O5" s="29">
        <f>'Fluxo de pagamentos'!Y9</f>
        <v>0</v>
      </c>
      <c r="P5" s="29">
        <f>'Fluxo de pagamentos'!Z9</f>
        <v>116666.74</v>
      </c>
      <c r="Q5" s="29">
        <f>'Fluxo de pagamentos'!AA9</f>
        <v>0</v>
      </c>
      <c r="R5" s="29">
        <f>'Fluxo de pagamentos'!AB9</f>
        <v>0</v>
      </c>
      <c r="S5" s="29">
        <f>'Fluxo de pagamentos'!AC9</f>
        <v>0</v>
      </c>
      <c r="T5" s="29">
        <f>'Fluxo de pagamentos'!AD9</f>
        <v>0</v>
      </c>
      <c r="U5" s="29">
        <f>'Fluxo de pagamentos'!AE9</f>
        <v>0</v>
      </c>
      <c r="V5" s="29">
        <f>'Fluxo de pagamentos'!AF9</f>
        <v>0</v>
      </c>
      <c r="W5" s="30">
        <f t="shared" si="0"/>
        <v>816666.70000000007</v>
      </c>
    </row>
    <row r="6" spans="1:23" x14ac:dyDescent="0.2">
      <c r="A6" t="s">
        <v>94</v>
      </c>
      <c r="B6" t="s">
        <v>48</v>
      </c>
      <c r="C6" s="29">
        <f>'Fluxo de pagamentos'!M10</f>
        <v>351670.07</v>
      </c>
      <c r="D6" s="29">
        <f>'Fluxo de pagamentos'!N10</f>
        <v>351670.07</v>
      </c>
      <c r="E6" s="29">
        <f>'Fluxo de pagamentos'!O10</f>
        <v>351670.07</v>
      </c>
      <c r="F6" s="29">
        <f>'Fluxo de pagamentos'!P10</f>
        <v>39759.760000000002</v>
      </c>
      <c r="G6" s="29">
        <f>'Fluxo de pagamentos'!Q10</f>
        <v>39784.26</v>
      </c>
      <c r="H6" s="29">
        <f>'Fluxo de pagamentos'!R10</f>
        <v>37458.17</v>
      </c>
      <c r="I6" s="29">
        <f>'Fluxo de pagamentos'!S10</f>
        <v>23287.34</v>
      </c>
      <c r="J6" s="29">
        <f>'Fluxo de pagamentos'!T10</f>
        <v>21678.07</v>
      </c>
      <c r="K6" s="29">
        <f>'Fluxo de pagamentos'!U10</f>
        <v>7524.68</v>
      </c>
      <c r="L6" s="29">
        <f>'Fluxo de pagamentos'!V10</f>
        <v>7524.68</v>
      </c>
      <c r="M6" s="29">
        <f>'Fluxo de pagamentos'!W10</f>
        <v>7524.68</v>
      </c>
      <c r="N6" s="29">
        <f>'Fluxo de pagamentos'!X10</f>
        <v>7524.68</v>
      </c>
      <c r="O6" s="29">
        <f>'Fluxo de pagamentos'!Y10</f>
        <v>4841.8999999999996</v>
      </c>
      <c r="P6" s="29">
        <f>'Fluxo de pagamentos'!Z10</f>
        <v>4841.8999999999996</v>
      </c>
      <c r="Q6" s="29">
        <f>'Fluxo de pagamentos'!AA10</f>
        <v>4841.8999999999996</v>
      </c>
      <c r="R6" s="29">
        <f>'Fluxo de pagamentos'!AB10</f>
        <v>4841.8999999999996</v>
      </c>
      <c r="S6" s="29">
        <f>'Fluxo de pagamentos'!AC10</f>
        <v>2367.79</v>
      </c>
      <c r="T6" s="29">
        <f>'Fluxo de pagamentos'!AD10</f>
        <v>0</v>
      </c>
      <c r="U6" s="29">
        <f>'Fluxo de pagamentos'!AE10</f>
        <v>0</v>
      </c>
      <c r="V6" s="29">
        <f>'Fluxo de pagamentos'!AF10</f>
        <v>0</v>
      </c>
      <c r="W6" s="30">
        <f t="shared" si="0"/>
        <v>1268811.9199999995</v>
      </c>
    </row>
    <row r="7" spans="1:23" x14ac:dyDescent="0.2">
      <c r="A7" t="s">
        <v>62</v>
      </c>
      <c r="B7" t="s">
        <v>95</v>
      </c>
      <c r="C7" s="29">
        <f>'Fluxo de pagamentos'!M11</f>
        <v>1190.07</v>
      </c>
      <c r="D7" s="29">
        <f>'Fluxo de pagamentos'!N11</f>
        <v>1190.07</v>
      </c>
      <c r="E7" s="29">
        <f>'Fluxo de pagamentos'!O11</f>
        <v>1190.07</v>
      </c>
      <c r="F7" s="29">
        <f>'Fluxo de pagamentos'!P11</f>
        <v>1190.07</v>
      </c>
      <c r="G7" s="29">
        <f>'Fluxo de pagamentos'!Q11</f>
        <v>1190.07</v>
      </c>
      <c r="H7" s="29">
        <f>'Fluxo de pagamentos'!R11</f>
        <v>1190.07</v>
      </c>
      <c r="I7" s="29">
        <f>'Fluxo de pagamentos'!S11</f>
        <v>1190.07</v>
      </c>
      <c r="J7" s="29">
        <f>'Fluxo de pagamentos'!T11</f>
        <v>1190.07</v>
      </c>
      <c r="K7" s="29">
        <f>'Fluxo de pagamentos'!U11</f>
        <v>1190.07</v>
      </c>
      <c r="L7" s="29">
        <f>'Fluxo de pagamentos'!V11</f>
        <v>1190.07</v>
      </c>
      <c r="M7" s="29">
        <f>'Fluxo de pagamentos'!W11</f>
        <v>1190.07</v>
      </c>
      <c r="N7" s="29">
        <f>'Fluxo de pagamentos'!X11</f>
        <v>1190.07</v>
      </c>
      <c r="O7" s="29">
        <f>'Fluxo de pagamentos'!Y11</f>
        <v>1190.07</v>
      </c>
      <c r="P7" s="29">
        <f>'Fluxo de pagamentos'!Z11</f>
        <v>1190.07</v>
      </c>
      <c r="Q7" s="29">
        <f>'Fluxo de pagamentos'!AA11</f>
        <v>1190.07</v>
      </c>
      <c r="R7" s="29">
        <f>'Fluxo de pagamentos'!AB11</f>
        <v>1190.07</v>
      </c>
      <c r="S7" s="29">
        <f>'Fluxo de pagamentos'!AC11</f>
        <v>1190.07</v>
      </c>
      <c r="T7" s="29">
        <f>'Fluxo de pagamentos'!AD11</f>
        <v>1190.07</v>
      </c>
      <c r="U7" s="29">
        <f>'Fluxo de pagamentos'!AE11</f>
        <v>1190.07</v>
      </c>
      <c r="V7" s="29">
        <f>'Fluxo de pagamentos'!AF11</f>
        <v>1190.07</v>
      </c>
      <c r="W7" s="30">
        <f t="shared" si="0"/>
        <v>23801.399999999998</v>
      </c>
    </row>
    <row r="8" spans="1:23" x14ac:dyDescent="0.2">
      <c r="A8" t="s">
        <v>62</v>
      </c>
      <c r="B8" t="s">
        <v>95</v>
      </c>
      <c r="C8" s="29">
        <f>'Fluxo de pagamentos'!M12</f>
        <v>22376.07</v>
      </c>
      <c r="D8" s="29">
        <f>'Fluxo de pagamentos'!N12</f>
        <v>22376.07</v>
      </c>
      <c r="E8" s="29">
        <f>'Fluxo de pagamentos'!O12</f>
        <v>22376.07</v>
      </c>
      <c r="F8" s="29">
        <f>'Fluxo de pagamentos'!P12</f>
        <v>22376.07</v>
      </c>
      <c r="G8" s="29">
        <f>'Fluxo de pagamentos'!Q12</f>
        <v>22376.07</v>
      </c>
      <c r="H8" s="29">
        <f>'Fluxo de pagamentos'!R12</f>
        <v>22376.07</v>
      </c>
      <c r="I8" s="29">
        <f>'Fluxo de pagamentos'!S12</f>
        <v>22376.07</v>
      </c>
      <c r="J8" s="29">
        <f>'Fluxo de pagamentos'!T12</f>
        <v>22376.07</v>
      </c>
      <c r="K8" s="29">
        <f>'Fluxo de pagamentos'!U12</f>
        <v>22376.07</v>
      </c>
      <c r="L8" s="29">
        <f>'Fluxo de pagamentos'!V12</f>
        <v>22376.07</v>
      </c>
      <c r="M8" s="29">
        <f>'Fluxo de pagamentos'!W12</f>
        <v>22376.07</v>
      </c>
      <c r="N8" s="29">
        <f>'Fluxo de pagamentos'!X12</f>
        <v>22376.07</v>
      </c>
      <c r="O8" s="29">
        <f>'Fluxo de pagamentos'!Y12</f>
        <v>22376.07</v>
      </c>
      <c r="P8" s="29">
        <f>'Fluxo de pagamentos'!Z12</f>
        <v>22376.07</v>
      </c>
      <c r="Q8" s="29">
        <f>'Fluxo de pagamentos'!AA12</f>
        <v>22376.07</v>
      </c>
      <c r="R8" s="29">
        <f>'Fluxo de pagamentos'!AB12</f>
        <v>22376.07</v>
      </c>
      <c r="S8" s="29">
        <f>'Fluxo de pagamentos'!AC12</f>
        <v>22376.07</v>
      </c>
      <c r="T8" s="29">
        <f>'Fluxo de pagamentos'!AD12</f>
        <v>22376.07</v>
      </c>
      <c r="U8" s="29">
        <f>'Fluxo de pagamentos'!AE12</f>
        <v>22376.07</v>
      </c>
      <c r="V8" s="29">
        <f>'Fluxo de pagamentos'!AF12</f>
        <v>22376.07</v>
      </c>
      <c r="W8" s="30">
        <f t="shared" si="0"/>
        <v>447521.40000000008</v>
      </c>
    </row>
    <row r="9" spans="1:23" x14ac:dyDescent="0.2">
      <c r="A9" t="s">
        <v>62</v>
      </c>
      <c r="B9" t="s">
        <v>95</v>
      </c>
      <c r="C9" s="29">
        <f>'Fluxo de pagamentos'!M13</f>
        <v>10710.64</v>
      </c>
      <c r="D9" s="29">
        <f>'Fluxo de pagamentos'!N13</f>
        <v>10710.64</v>
      </c>
      <c r="E9" s="29">
        <f>'Fluxo de pagamentos'!O13</f>
        <v>10710.64</v>
      </c>
      <c r="F9" s="29">
        <f>'Fluxo de pagamentos'!P13</f>
        <v>10710.64</v>
      </c>
      <c r="G9" s="29">
        <f>'Fluxo de pagamentos'!Q13</f>
        <v>10710.64</v>
      </c>
      <c r="H9" s="29">
        <f>'Fluxo de pagamentos'!R13</f>
        <v>10710.64</v>
      </c>
      <c r="I9" s="29">
        <f>'Fluxo de pagamentos'!S13</f>
        <v>10710.64</v>
      </c>
      <c r="J9" s="29">
        <f>'Fluxo de pagamentos'!T13</f>
        <v>10710.64</v>
      </c>
      <c r="K9" s="29">
        <f>'Fluxo de pagamentos'!U13</f>
        <v>10710.64</v>
      </c>
      <c r="L9" s="29">
        <f>'Fluxo de pagamentos'!V13</f>
        <v>10710.64</v>
      </c>
      <c r="M9" s="29">
        <f>'Fluxo de pagamentos'!W13</f>
        <v>10710.64</v>
      </c>
      <c r="N9" s="29">
        <f>'Fluxo de pagamentos'!X13</f>
        <v>10710.64</v>
      </c>
      <c r="O9" s="29">
        <f>'Fluxo de pagamentos'!Y13</f>
        <v>10710.64</v>
      </c>
      <c r="P9" s="29">
        <f>'Fluxo de pagamentos'!Z13</f>
        <v>10710.64</v>
      </c>
      <c r="Q9" s="29">
        <f>'Fluxo de pagamentos'!AA13</f>
        <v>10710.64</v>
      </c>
      <c r="R9" s="29">
        <f>'Fluxo de pagamentos'!AB13</f>
        <v>10710.64</v>
      </c>
      <c r="S9" s="29">
        <f>'Fluxo de pagamentos'!AC13</f>
        <v>10710.64</v>
      </c>
      <c r="T9" s="29">
        <f>'Fluxo de pagamentos'!AD13</f>
        <v>10710.64</v>
      </c>
      <c r="U9" s="29">
        <f>'Fluxo de pagamentos'!AE13</f>
        <v>10710.64</v>
      </c>
      <c r="V9" s="29">
        <f>'Fluxo de pagamentos'!AF13</f>
        <v>10710.64</v>
      </c>
      <c r="W9" s="30">
        <f t="shared" si="0"/>
        <v>214212.8000000001</v>
      </c>
    </row>
    <row r="10" spans="1:23" x14ac:dyDescent="0.2">
      <c r="A10" t="s">
        <v>62</v>
      </c>
      <c r="B10" t="s">
        <v>95</v>
      </c>
      <c r="C10" s="29">
        <f>'Fluxo de pagamentos'!M14</f>
        <v>23648.84</v>
      </c>
      <c r="D10" s="29">
        <f>'Fluxo de pagamentos'!N14</f>
        <v>23648.84</v>
      </c>
      <c r="E10" s="29">
        <f>'Fluxo de pagamentos'!O14</f>
        <v>23648.84</v>
      </c>
      <c r="F10" s="29">
        <f>'Fluxo de pagamentos'!P14</f>
        <v>23648.84</v>
      </c>
      <c r="G10" s="29">
        <f>'Fluxo de pagamentos'!Q14</f>
        <v>23648.84</v>
      </c>
      <c r="H10" s="29">
        <f>'Fluxo de pagamentos'!R14</f>
        <v>23648.84</v>
      </c>
      <c r="I10" s="29">
        <f>'Fluxo de pagamentos'!S14</f>
        <v>23648.84</v>
      </c>
      <c r="J10" s="29">
        <f>'Fluxo de pagamentos'!T14</f>
        <v>23648.84</v>
      </c>
      <c r="K10" s="29">
        <f>'Fluxo de pagamentos'!U14</f>
        <v>23648.84</v>
      </c>
      <c r="L10" s="29">
        <f>'Fluxo de pagamentos'!V14</f>
        <v>23648.84</v>
      </c>
      <c r="M10" s="29">
        <f>'Fluxo de pagamentos'!W14</f>
        <v>23648.84</v>
      </c>
      <c r="N10" s="29">
        <f>'Fluxo de pagamentos'!X14</f>
        <v>23648.84</v>
      </c>
      <c r="O10" s="29">
        <f>'Fluxo de pagamentos'!Y14</f>
        <v>23648.84</v>
      </c>
      <c r="P10" s="29">
        <f>'Fluxo de pagamentos'!Z14</f>
        <v>23648.84</v>
      </c>
      <c r="Q10" s="29">
        <f>'Fluxo de pagamentos'!AA14</f>
        <v>23648.84</v>
      </c>
      <c r="R10" s="29">
        <f>'Fluxo de pagamentos'!AB14</f>
        <v>23648.84</v>
      </c>
      <c r="S10" s="29">
        <f>'Fluxo de pagamentos'!AC14</f>
        <v>23648.84</v>
      </c>
      <c r="T10" s="29">
        <f>'Fluxo de pagamentos'!AD14</f>
        <v>23648.84</v>
      </c>
      <c r="U10" s="29">
        <f>'Fluxo de pagamentos'!AE14</f>
        <v>23648.84</v>
      </c>
      <c r="V10" s="29">
        <f>'Fluxo de pagamentos'!AF14</f>
        <v>23648.84</v>
      </c>
      <c r="W10" s="30">
        <f t="shared" si="0"/>
        <v>472976.80000000022</v>
      </c>
    </row>
    <row r="11" spans="1:23" x14ac:dyDescent="0.2">
      <c r="A11" t="s">
        <v>62</v>
      </c>
      <c r="B11" t="s">
        <v>95</v>
      </c>
      <c r="C11" s="29">
        <f>'Fluxo de pagamentos'!M15</f>
        <v>22376.07</v>
      </c>
      <c r="D11" s="29">
        <f>'Fluxo de pagamentos'!N15</f>
        <v>22376.07</v>
      </c>
      <c r="E11" s="29">
        <f>'Fluxo de pagamentos'!O15</f>
        <v>22376.07</v>
      </c>
      <c r="F11" s="29">
        <f>'Fluxo de pagamentos'!P15</f>
        <v>22376.07</v>
      </c>
      <c r="G11" s="29">
        <f>'Fluxo de pagamentos'!Q15</f>
        <v>22376.07</v>
      </c>
      <c r="H11" s="29">
        <f>'Fluxo de pagamentos'!R15</f>
        <v>22376.07</v>
      </c>
      <c r="I11" s="29">
        <f>'Fluxo de pagamentos'!S15</f>
        <v>22376.07</v>
      </c>
      <c r="J11" s="29">
        <f>'Fluxo de pagamentos'!T15</f>
        <v>22376.07</v>
      </c>
      <c r="K11" s="29">
        <f>'Fluxo de pagamentos'!U15</f>
        <v>22376.07</v>
      </c>
      <c r="L11" s="29">
        <f>'Fluxo de pagamentos'!V15</f>
        <v>22376.07</v>
      </c>
      <c r="M11" s="29">
        <f>'Fluxo de pagamentos'!W15</f>
        <v>22376.07</v>
      </c>
      <c r="N11" s="29">
        <f>'Fluxo de pagamentos'!X15</f>
        <v>22376.07</v>
      </c>
      <c r="O11" s="29">
        <f>'Fluxo de pagamentos'!Y15</f>
        <v>22376.07</v>
      </c>
      <c r="P11" s="29">
        <f>'Fluxo de pagamentos'!Z15</f>
        <v>22376.07</v>
      </c>
      <c r="Q11" s="29">
        <f>'Fluxo de pagamentos'!AA15</f>
        <v>22376.07</v>
      </c>
      <c r="R11" s="29">
        <f>'Fluxo de pagamentos'!AB15</f>
        <v>22376.07</v>
      </c>
      <c r="S11" s="29">
        <f>'Fluxo de pagamentos'!AC15</f>
        <v>22376.07</v>
      </c>
      <c r="T11" s="29">
        <f>'Fluxo de pagamentos'!AD15</f>
        <v>22376.07</v>
      </c>
      <c r="U11" s="29">
        <f>'Fluxo de pagamentos'!AE15</f>
        <v>22376.07</v>
      </c>
      <c r="V11" s="29">
        <f>'Fluxo de pagamentos'!AF15</f>
        <v>22376.07</v>
      </c>
      <c r="W11" s="30">
        <f t="shared" si="0"/>
        <v>447521.40000000008</v>
      </c>
    </row>
    <row r="12" spans="1:23" x14ac:dyDescent="0.2">
      <c r="A12" t="s">
        <v>3</v>
      </c>
      <c r="B12" t="s">
        <v>48</v>
      </c>
      <c r="C12" s="29">
        <f>'Fluxo de pagamentos'!M16</f>
        <v>245737.9</v>
      </c>
      <c r="D12" s="29">
        <f>'Fluxo de pagamentos'!N16</f>
        <v>245737.9</v>
      </c>
      <c r="E12" s="29">
        <f>'Fluxo de pagamentos'!O16</f>
        <v>245737.9</v>
      </c>
      <c r="F12" s="29">
        <f>'Fluxo de pagamentos'!P16</f>
        <v>245737.9</v>
      </c>
      <c r="G12" s="29">
        <f>'Fluxo de pagamentos'!Q16</f>
        <v>245737.9</v>
      </c>
      <c r="H12" s="29">
        <f>'Fluxo de pagamentos'!R16</f>
        <v>245737.9</v>
      </c>
      <c r="I12" s="29">
        <f>'Fluxo de pagamentos'!S16</f>
        <v>245737.9</v>
      </c>
      <c r="J12" s="29">
        <f>'Fluxo de pagamentos'!T16</f>
        <v>245737.9</v>
      </c>
      <c r="K12" s="29">
        <f>'Fluxo de pagamentos'!U16</f>
        <v>0</v>
      </c>
      <c r="L12" s="29">
        <f>'Fluxo de pagamentos'!V16</f>
        <v>0</v>
      </c>
      <c r="M12" s="29">
        <f>'Fluxo de pagamentos'!W16</f>
        <v>0</v>
      </c>
      <c r="N12" s="29">
        <f>'Fluxo de pagamentos'!X16</f>
        <v>0</v>
      </c>
      <c r="O12" s="29">
        <f>'Fluxo de pagamentos'!Y16</f>
        <v>0</v>
      </c>
      <c r="P12" s="29">
        <f>'Fluxo de pagamentos'!Z16</f>
        <v>0</v>
      </c>
      <c r="Q12" s="29">
        <f>'Fluxo de pagamentos'!AA16</f>
        <v>0</v>
      </c>
      <c r="R12" s="29">
        <f>'Fluxo de pagamentos'!AB16</f>
        <v>0</v>
      </c>
      <c r="S12" s="29">
        <f>'Fluxo de pagamentos'!AC16</f>
        <v>0</v>
      </c>
      <c r="T12" s="29">
        <f>'Fluxo de pagamentos'!AD16</f>
        <v>0</v>
      </c>
      <c r="U12" s="29">
        <f>'Fluxo de pagamentos'!AE16</f>
        <v>0</v>
      </c>
      <c r="V12" s="29">
        <f>'Fluxo de pagamentos'!AF16</f>
        <v>0</v>
      </c>
      <c r="W12" s="30">
        <f t="shared" si="0"/>
        <v>1965903.1999999997</v>
      </c>
    </row>
    <row r="13" spans="1:23" x14ac:dyDescent="0.2">
      <c r="A13" t="s">
        <v>3</v>
      </c>
      <c r="B13" t="s">
        <v>95</v>
      </c>
      <c r="C13" s="29">
        <f>'Fluxo de pagamentos'!M17</f>
        <v>36658.33</v>
      </c>
      <c r="D13" s="29">
        <f>'Fluxo de pagamentos'!N17</f>
        <v>0</v>
      </c>
      <c r="E13" s="29">
        <f>'Fluxo de pagamentos'!O17</f>
        <v>36658.33</v>
      </c>
      <c r="F13" s="29">
        <f>'Fluxo de pagamentos'!P17</f>
        <v>0</v>
      </c>
      <c r="G13" s="29">
        <f>'Fluxo de pagamentos'!Q17</f>
        <v>36658.33</v>
      </c>
      <c r="H13" s="29">
        <f>'Fluxo de pagamentos'!R17</f>
        <v>0</v>
      </c>
      <c r="I13" s="29">
        <f>'Fluxo de pagamentos'!S17</f>
        <v>36658.33</v>
      </c>
      <c r="J13" s="29">
        <f>'Fluxo de pagamentos'!T17</f>
        <v>0</v>
      </c>
      <c r="K13" s="29">
        <f>'Fluxo de pagamentos'!U17</f>
        <v>116658.33</v>
      </c>
      <c r="L13" s="29">
        <f>'Fluxo de pagamentos'!V17</f>
        <v>0</v>
      </c>
      <c r="M13" s="29">
        <f>'Fluxo de pagamentos'!W17</f>
        <v>116658.33</v>
      </c>
      <c r="N13" s="29">
        <f>'Fluxo de pagamentos'!X17</f>
        <v>0</v>
      </c>
      <c r="O13" s="29">
        <f>'Fluxo de pagamentos'!Y17</f>
        <v>116658.37</v>
      </c>
      <c r="P13" s="29">
        <f>'Fluxo de pagamentos'!Z17</f>
        <v>0</v>
      </c>
      <c r="Q13" s="29">
        <f>'Fluxo de pagamentos'!AA17</f>
        <v>0</v>
      </c>
      <c r="R13" s="29">
        <f>'Fluxo de pagamentos'!AB17</f>
        <v>0</v>
      </c>
      <c r="S13" s="29">
        <f>'Fluxo de pagamentos'!AC17</f>
        <v>0</v>
      </c>
      <c r="T13" s="29">
        <f>'Fluxo de pagamentos'!AD17</f>
        <v>0</v>
      </c>
      <c r="U13" s="29">
        <f>'Fluxo de pagamentos'!AE17</f>
        <v>0</v>
      </c>
      <c r="V13" s="29">
        <f>'Fluxo de pagamentos'!AF17</f>
        <v>0</v>
      </c>
      <c r="W13" s="30">
        <f t="shared" si="0"/>
        <v>496608.35000000003</v>
      </c>
    </row>
    <row r="14" spans="1:23" x14ac:dyDescent="0.2">
      <c r="A14" t="s">
        <v>4</v>
      </c>
      <c r="B14" t="s">
        <v>48</v>
      </c>
      <c r="C14" s="29">
        <f>'Fluxo de pagamentos'!M18</f>
        <v>57647.1</v>
      </c>
      <c r="D14" s="29">
        <f>'Fluxo de pagamentos'!N18</f>
        <v>57647.1</v>
      </c>
      <c r="E14" s="29">
        <f>'Fluxo de pagamentos'!O18</f>
        <v>57647.1</v>
      </c>
      <c r="F14" s="29">
        <f>'Fluxo de pagamentos'!P18</f>
        <v>57647.1</v>
      </c>
      <c r="G14" s="29">
        <f>'Fluxo de pagamentos'!Q18</f>
        <v>57647.1</v>
      </c>
      <c r="H14" s="29">
        <f>'Fluxo de pagamentos'!R18</f>
        <v>57647.1</v>
      </c>
      <c r="I14" s="29">
        <f>'Fluxo de pagamentos'!S18</f>
        <v>57647.1</v>
      </c>
      <c r="J14" s="29">
        <f>'Fluxo de pagamentos'!T18</f>
        <v>57647.1</v>
      </c>
      <c r="K14" s="29">
        <f>'Fluxo de pagamentos'!U18</f>
        <v>0</v>
      </c>
      <c r="L14" s="29">
        <f>'Fluxo de pagamentos'!V18</f>
        <v>0</v>
      </c>
      <c r="M14" s="29">
        <f>'Fluxo de pagamentos'!W18</f>
        <v>0</v>
      </c>
      <c r="N14" s="29">
        <f>'Fluxo de pagamentos'!X18</f>
        <v>0</v>
      </c>
      <c r="O14" s="29">
        <f>'Fluxo de pagamentos'!Y18</f>
        <v>0</v>
      </c>
      <c r="P14" s="29">
        <f>'Fluxo de pagamentos'!Z18</f>
        <v>0</v>
      </c>
      <c r="Q14" s="29">
        <f>'Fluxo de pagamentos'!AA18</f>
        <v>0</v>
      </c>
      <c r="R14" s="29">
        <f>'Fluxo de pagamentos'!AB18</f>
        <v>0</v>
      </c>
      <c r="S14" s="29">
        <f>'Fluxo de pagamentos'!AC18</f>
        <v>0</v>
      </c>
      <c r="T14" s="29">
        <f>'Fluxo de pagamentos'!AD18</f>
        <v>0</v>
      </c>
      <c r="U14" s="29">
        <f>'Fluxo de pagamentos'!AE18</f>
        <v>0</v>
      </c>
      <c r="V14" s="29">
        <f>'Fluxo de pagamentos'!AF18</f>
        <v>0</v>
      </c>
      <c r="W14" s="30">
        <f t="shared" si="0"/>
        <v>461176.79999999993</v>
      </c>
    </row>
    <row r="15" spans="1:23" x14ac:dyDescent="0.2">
      <c r="A15" s="49" t="s">
        <v>96</v>
      </c>
      <c r="B15" s="49"/>
      <c r="C15" s="29">
        <f t="shared" ref="C15:V15" si="1">C5+SUM(C7:C11)+C13</f>
        <v>116960.02</v>
      </c>
      <c r="D15" s="29">
        <f t="shared" si="1"/>
        <v>196968.35</v>
      </c>
      <c r="E15" s="29">
        <f t="shared" si="1"/>
        <v>116960.02</v>
      </c>
      <c r="F15" s="29">
        <f t="shared" si="1"/>
        <v>196968.35</v>
      </c>
      <c r="G15" s="29">
        <f t="shared" si="1"/>
        <v>116960.02</v>
      </c>
      <c r="H15" s="29">
        <f t="shared" si="1"/>
        <v>196968.35</v>
      </c>
      <c r="I15" s="29">
        <f t="shared" si="1"/>
        <v>116960.02</v>
      </c>
      <c r="J15" s="29">
        <f t="shared" si="1"/>
        <v>196968.35</v>
      </c>
      <c r="K15" s="29">
        <f t="shared" si="1"/>
        <v>196960.02000000002</v>
      </c>
      <c r="L15" s="29">
        <f t="shared" si="1"/>
        <v>196968.35</v>
      </c>
      <c r="M15" s="29">
        <f t="shared" si="1"/>
        <v>196960.02000000002</v>
      </c>
      <c r="N15" s="29">
        <f t="shared" si="1"/>
        <v>196968.35</v>
      </c>
      <c r="O15" s="29">
        <f t="shared" si="1"/>
        <v>196960.06</v>
      </c>
      <c r="P15" s="29">
        <f t="shared" si="1"/>
        <v>196968.43</v>
      </c>
      <c r="Q15" s="29">
        <f t="shared" si="1"/>
        <v>80301.69</v>
      </c>
      <c r="R15" s="29">
        <f t="shared" si="1"/>
        <v>80301.69</v>
      </c>
      <c r="S15" s="29">
        <f t="shared" si="1"/>
        <v>80301.69</v>
      </c>
      <c r="T15" s="29">
        <f t="shared" si="1"/>
        <v>80301.69</v>
      </c>
      <c r="U15" s="29">
        <f t="shared" si="1"/>
        <v>80301.69</v>
      </c>
      <c r="V15" s="29">
        <f t="shared" si="1"/>
        <v>80301.69</v>
      </c>
      <c r="W15" s="30">
        <f t="shared" si="0"/>
        <v>2919308.85</v>
      </c>
    </row>
    <row r="16" spans="1:23" x14ac:dyDescent="0.2">
      <c r="A16" s="49" t="s">
        <v>97</v>
      </c>
      <c r="B16" s="49"/>
      <c r="C16" s="30">
        <f t="shared" ref="C16:V16" si="2">C6+C12+C14</f>
        <v>655055.06999999995</v>
      </c>
      <c r="D16" s="30">
        <f t="shared" si="2"/>
        <v>655055.06999999995</v>
      </c>
      <c r="E16" s="30">
        <f t="shared" si="2"/>
        <v>655055.06999999995</v>
      </c>
      <c r="F16" s="30">
        <f t="shared" si="2"/>
        <v>343144.75999999995</v>
      </c>
      <c r="G16" s="30">
        <f t="shared" si="2"/>
        <v>343169.25999999995</v>
      </c>
      <c r="H16" s="30">
        <f t="shared" si="2"/>
        <v>340843.17</v>
      </c>
      <c r="I16" s="30">
        <f t="shared" si="2"/>
        <v>326672.33999999997</v>
      </c>
      <c r="J16" s="30">
        <f t="shared" si="2"/>
        <v>325063.06999999995</v>
      </c>
      <c r="K16" s="30">
        <f t="shared" si="2"/>
        <v>7524.68</v>
      </c>
      <c r="L16" s="30">
        <f t="shared" si="2"/>
        <v>7524.68</v>
      </c>
      <c r="M16" s="30">
        <f t="shared" si="2"/>
        <v>7524.68</v>
      </c>
      <c r="N16" s="30">
        <f t="shared" si="2"/>
        <v>7524.68</v>
      </c>
      <c r="O16" s="30">
        <f t="shared" si="2"/>
        <v>4841.8999999999996</v>
      </c>
      <c r="P16" s="30">
        <f t="shared" si="2"/>
        <v>4841.8999999999996</v>
      </c>
      <c r="Q16" s="30">
        <f t="shared" si="2"/>
        <v>4841.8999999999996</v>
      </c>
      <c r="R16" s="30">
        <f t="shared" si="2"/>
        <v>4841.8999999999996</v>
      </c>
      <c r="S16" s="30">
        <f t="shared" si="2"/>
        <v>2367.79</v>
      </c>
      <c r="T16" s="30">
        <f t="shared" si="2"/>
        <v>0</v>
      </c>
      <c r="U16" s="30">
        <f t="shared" si="2"/>
        <v>0</v>
      </c>
      <c r="V16" s="30">
        <f t="shared" si="2"/>
        <v>0</v>
      </c>
      <c r="W16" s="30">
        <f t="shared" si="0"/>
        <v>3695891.9199999995</v>
      </c>
    </row>
    <row r="17" spans="1:53" x14ac:dyDescent="0.2">
      <c r="A17" s="47" t="s">
        <v>99</v>
      </c>
      <c r="B17" s="47"/>
      <c r="C17" s="30">
        <f t="shared" ref="C17:V17" si="3">C4*64.7%</f>
        <v>499493.76322999998</v>
      </c>
      <c r="D17" s="30">
        <f t="shared" si="3"/>
        <v>551259.15273999993</v>
      </c>
      <c r="E17" s="30">
        <f t="shared" si="3"/>
        <v>499493.76322999998</v>
      </c>
      <c r="F17" s="30">
        <f t="shared" si="3"/>
        <v>349453.18216999999</v>
      </c>
      <c r="G17" s="30">
        <f t="shared" si="3"/>
        <v>297703.64415999997</v>
      </c>
      <c r="H17" s="30">
        <f t="shared" si="3"/>
        <v>347964.05344000005</v>
      </c>
      <c r="I17" s="30">
        <f t="shared" si="3"/>
        <v>287030.13692000002</v>
      </c>
      <c r="J17" s="30">
        <f t="shared" si="3"/>
        <v>337754.32874000003</v>
      </c>
      <c r="K17" s="30">
        <f t="shared" si="3"/>
        <v>132301.60090000002</v>
      </c>
      <c r="L17" s="30">
        <f t="shared" si="3"/>
        <v>132306.99041</v>
      </c>
      <c r="M17" s="30">
        <f t="shared" si="3"/>
        <v>132301.60090000002</v>
      </c>
      <c r="N17" s="30">
        <f t="shared" si="3"/>
        <v>132306.99041</v>
      </c>
      <c r="O17" s="30">
        <f t="shared" si="3"/>
        <v>130565.86812</v>
      </c>
      <c r="P17" s="30">
        <f t="shared" si="3"/>
        <v>130571.28350999999</v>
      </c>
      <c r="Q17" s="30">
        <f t="shared" si="3"/>
        <v>55087.902730000002</v>
      </c>
      <c r="R17" s="30">
        <f t="shared" si="3"/>
        <v>55087.902730000002</v>
      </c>
      <c r="S17" s="30">
        <f t="shared" si="3"/>
        <v>53487.153560000006</v>
      </c>
      <c r="T17" s="30">
        <f t="shared" si="3"/>
        <v>51955.193430000007</v>
      </c>
      <c r="U17" s="30">
        <f t="shared" si="3"/>
        <v>51955.193430000007</v>
      </c>
      <c r="V17" s="30">
        <f t="shared" si="3"/>
        <v>51955.193430000007</v>
      </c>
      <c r="W17" s="30">
        <f t="shared" si="0"/>
        <v>4280034.8981900001</v>
      </c>
    </row>
    <row r="18" spans="1:53" x14ac:dyDescent="0.2">
      <c r="A18" s="47" t="s">
        <v>100</v>
      </c>
      <c r="B18" s="47"/>
      <c r="C18" s="30">
        <f t="shared" ref="C18:V18" si="4">C4*35.3%</f>
        <v>272521.32676999999</v>
      </c>
      <c r="D18" s="30">
        <f t="shared" si="4"/>
        <v>300764.26725999994</v>
      </c>
      <c r="E18" s="30">
        <f t="shared" si="4"/>
        <v>272521.32676999999</v>
      </c>
      <c r="F18" s="30">
        <f t="shared" si="4"/>
        <v>190659.92782999997</v>
      </c>
      <c r="G18" s="30">
        <f t="shared" si="4"/>
        <v>162425.63583999997</v>
      </c>
      <c r="H18" s="30">
        <f t="shared" si="4"/>
        <v>189847.46656</v>
      </c>
      <c r="I18" s="30">
        <f t="shared" si="4"/>
        <v>156602.22308</v>
      </c>
      <c r="J18" s="30">
        <f t="shared" si="4"/>
        <v>184277.09125999999</v>
      </c>
      <c r="K18" s="30">
        <f t="shared" si="4"/>
        <v>72183.099100000007</v>
      </c>
      <c r="L18" s="30">
        <f t="shared" si="4"/>
        <v>72186.03959</v>
      </c>
      <c r="M18" s="30">
        <f t="shared" si="4"/>
        <v>72183.099100000007</v>
      </c>
      <c r="N18" s="30">
        <f t="shared" si="4"/>
        <v>72186.03959</v>
      </c>
      <c r="O18" s="30">
        <f t="shared" si="4"/>
        <v>71236.091879999993</v>
      </c>
      <c r="P18" s="30">
        <f t="shared" si="4"/>
        <v>71239.046489999993</v>
      </c>
      <c r="Q18" s="30">
        <f t="shared" si="4"/>
        <v>30055.687269999999</v>
      </c>
      <c r="R18" s="30">
        <f t="shared" si="4"/>
        <v>30055.687269999999</v>
      </c>
      <c r="S18" s="30">
        <f t="shared" si="4"/>
        <v>29182.326440000001</v>
      </c>
      <c r="T18" s="30">
        <f t="shared" si="4"/>
        <v>28346.496569999999</v>
      </c>
      <c r="U18" s="30">
        <f t="shared" si="4"/>
        <v>28346.496569999999</v>
      </c>
      <c r="V18" s="30">
        <f t="shared" si="4"/>
        <v>28346.496569999999</v>
      </c>
      <c r="W18" s="30">
        <f t="shared" si="0"/>
        <v>2335165.8718099995</v>
      </c>
    </row>
    <row r="19" spans="1:53" s="33" customFormat="1" ht="9" customHeight="1" x14ac:dyDescent="0.2">
      <c r="A19" s="46"/>
      <c r="B19" s="46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</row>
    <row r="20" spans="1:53" x14ac:dyDescent="0.2">
      <c r="A20" t="s">
        <v>181</v>
      </c>
      <c r="B20" t="s">
        <v>95</v>
      </c>
      <c r="C20" s="30">
        <f>SUM(C7:C11,C5,C13)</f>
        <v>116960.02</v>
      </c>
      <c r="D20" s="30">
        <f t="shared" ref="D20:V20" si="5">SUM(D7:D11,D5,D13)</f>
        <v>196968.35</v>
      </c>
      <c r="E20" s="30">
        <f t="shared" si="5"/>
        <v>116960.02</v>
      </c>
      <c r="F20" s="30">
        <f t="shared" si="5"/>
        <v>196968.35</v>
      </c>
      <c r="G20" s="30">
        <f t="shared" si="5"/>
        <v>116960.02</v>
      </c>
      <c r="H20" s="30">
        <f t="shared" si="5"/>
        <v>196968.35</v>
      </c>
      <c r="I20" s="30">
        <f t="shared" si="5"/>
        <v>116960.02</v>
      </c>
      <c r="J20" s="30">
        <f t="shared" si="5"/>
        <v>196968.35</v>
      </c>
      <c r="K20" s="30">
        <f t="shared" si="5"/>
        <v>196960.02000000002</v>
      </c>
      <c r="L20" s="30">
        <f t="shared" si="5"/>
        <v>196968.35</v>
      </c>
      <c r="M20" s="30">
        <f t="shared" si="5"/>
        <v>196960.02000000002</v>
      </c>
      <c r="N20" s="30">
        <f t="shared" si="5"/>
        <v>196968.35</v>
      </c>
      <c r="O20" s="30">
        <f t="shared" si="5"/>
        <v>196960.06</v>
      </c>
      <c r="P20" s="30">
        <f t="shared" si="5"/>
        <v>196968.43</v>
      </c>
      <c r="Q20" s="30">
        <f t="shared" si="5"/>
        <v>80301.69</v>
      </c>
      <c r="R20" s="30">
        <f t="shared" si="5"/>
        <v>80301.69</v>
      </c>
      <c r="S20" s="30">
        <f t="shared" si="5"/>
        <v>80301.69</v>
      </c>
      <c r="T20" s="30">
        <f t="shared" si="5"/>
        <v>80301.69</v>
      </c>
      <c r="U20" s="30">
        <f t="shared" si="5"/>
        <v>80301.69</v>
      </c>
      <c r="V20" s="30">
        <f t="shared" si="5"/>
        <v>80301.69</v>
      </c>
      <c r="W20" s="30">
        <f t="shared" si="0"/>
        <v>2919308.85</v>
      </c>
    </row>
    <row r="27" spans="1:53" ht="32" x14ac:dyDescent="0.2">
      <c r="A27" s="102" t="s">
        <v>185</v>
      </c>
      <c r="B27" s="102"/>
      <c r="C27" s="101" t="s">
        <v>0</v>
      </c>
      <c r="D27" s="38" t="s">
        <v>79</v>
      </c>
      <c r="E27" s="38" t="s">
        <v>79</v>
      </c>
      <c r="F27" s="38" t="s">
        <v>79</v>
      </c>
      <c r="G27" s="38" t="s">
        <v>79</v>
      </c>
      <c r="H27" s="102" t="s">
        <v>74</v>
      </c>
    </row>
    <row r="28" spans="1:53" x14ac:dyDescent="0.2">
      <c r="A28" s="102"/>
      <c r="B28" s="102"/>
      <c r="C28" s="39"/>
      <c r="D28" s="103">
        <v>46230</v>
      </c>
      <c r="E28" s="75">
        <f>'Fluxo de pagamentos'!AI2</f>
        <v>46935</v>
      </c>
      <c r="F28" s="104">
        <f>'Fluxo de pagamentos'!AU2</f>
        <v>47300</v>
      </c>
      <c r="G28" s="104">
        <f>'Fluxo de pagamentos'!BG2</f>
        <v>47665</v>
      </c>
      <c r="H28" s="102"/>
    </row>
    <row r="29" spans="1:53" x14ac:dyDescent="0.2">
      <c r="A29" s="39" t="s">
        <v>0</v>
      </c>
      <c r="B29" s="39"/>
      <c r="C29" s="97">
        <f>'Fluxo de pagamentos'!J7</f>
        <v>4959000</v>
      </c>
      <c r="D29" s="40">
        <f>'Fluxo de pagamentos'!K7</f>
        <v>3000000</v>
      </c>
      <c r="E29" s="40">
        <f>'Fluxo de pagamentos'!AI7</f>
        <v>653000</v>
      </c>
      <c r="F29" s="40">
        <f>'Fluxo de pagamentos'!AU7</f>
        <v>653000</v>
      </c>
      <c r="G29" s="40">
        <f>'Fluxo de pagamentos'!BG7</f>
        <v>653000</v>
      </c>
      <c r="H29" s="40">
        <f>SUM(D29:G29)</f>
        <v>4959000</v>
      </c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30"/>
    </row>
    <row r="30" spans="1:53" x14ac:dyDescent="0.2">
      <c r="A30" s="39" t="s">
        <v>38</v>
      </c>
      <c r="B30" s="39" t="s">
        <v>178</v>
      </c>
      <c r="C30" s="97">
        <f>C29*64.7%</f>
        <v>3208473</v>
      </c>
      <c r="D30" s="97">
        <f>D29*64.7%</f>
        <v>1941000</v>
      </c>
      <c r="E30" s="97">
        <f>E29*64.7%</f>
        <v>422491</v>
      </c>
      <c r="F30" s="97">
        <f>F29*64.7%</f>
        <v>422491</v>
      </c>
      <c r="G30" s="97">
        <f>G29*64.7%</f>
        <v>422491</v>
      </c>
      <c r="H30" s="40">
        <f t="shared" ref="H30:H31" si="6">SUM(D30:G30)</f>
        <v>3208473</v>
      </c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</row>
    <row r="31" spans="1:53" x14ac:dyDescent="0.2">
      <c r="A31" s="39" t="s">
        <v>180</v>
      </c>
      <c r="B31" s="39" t="s">
        <v>179</v>
      </c>
      <c r="C31" s="97">
        <f>C29*35.3%</f>
        <v>1750527</v>
      </c>
      <c r="D31" s="97">
        <f>D29*35.3%</f>
        <v>1059000</v>
      </c>
      <c r="E31" s="97">
        <f>E29*35.3%</f>
        <v>230509</v>
      </c>
      <c r="F31" s="97">
        <f>F29*35.3%</f>
        <v>230509</v>
      </c>
      <c r="G31" s="97">
        <f>G29*35.3%</f>
        <v>230509</v>
      </c>
      <c r="H31" s="40">
        <f t="shared" si="6"/>
        <v>1750527</v>
      </c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</row>
    <row r="34" spans="3:7" ht="45" customHeight="1" x14ac:dyDescent="0.2">
      <c r="C34" s="100" t="s">
        <v>183</v>
      </c>
      <c r="D34" s="100"/>
      <c r="F34" s="100" t="s">
        <v>184</v>
      </c>
      <c r="G34" s="100"/>
    </row>
    <row r="35" spans="3:7" x14ac:dyDescent="0.2">
      <c r="C35" s="101" t="s">
        <v>104</v>
      </c>
      <c r="D35" s="101" t="s">
        <v>73</v>
      </c>
      <c r="F35" s="101" t="s">
        <v>104</v>
      </c>
      <c r="G35" s="101" t="s">
        <v>73</v>
      </c>
    </row>
    <row r="36" spans="3:7" x14ac:dyDescent="0.2">
      <c r="C36" s="75">
        <v>46295</v>
      </c>
      <c r="D36" s="97">
        <f>C17</f>
        <v>499493.76322999998</v>
      </c>
      <c r="F36" s="75">
        <v>46295</v>
      </c>
      <c r="G36" s="97">
        <f>C18</f>
        <v>272521.32676999999</v>
      </c>
    </row>
    <row r="37" spans="3:7" x14ac:dyDescent="0.2">
      <c r="C37" s="75">
        <v>46326</v>
      </c>
      <c r="D37" s="97">
        <f>D17</f>
        <v>551259.15273999993</v>
      </c>
      <c r="F37" s="75">
        <v>46326</v>
      </c>
      <c r="G37" s="97">
        <f>D18</f>
        <v>300764.26725999994</v>
      </c>
    </row>
    <row r="38" spans="3:7" x14ac:dyDescent="0.2">
      <c r="C38" s="75">
        <v>46356</v>
      </c>
      <c r="D38" s="97">
        <f>E17</f>
        <v>499493.76322999998</v>
      </c>
      <c r="F38" s="75">
        <v>46356</v>
      </c>
      <c r="G38" s="97">
        <f>E18</f>
        <v>272521.32676999999</v>
      </c>
    </row>
    <row r="39" spans="3:7" x14ac:dyDescent="0.2">
      <c r="C39" s="75">
        <v>46387</v>
      </c>
      <c r="D39" s="97">
        <f>F17</f>
        <v>349453.18216999999</v>
      </c>
      <c r="F39" s="75">
        <v>46387</v>
      </c>
      <c r="G39" s="97">
        <f>F18</f>
        <v>190659.92782999997</v>
      </c>
    </row>
    <row r="40" spans="3:7" x14ac:dyDescent="0.2">
      <c r="C40" s="75">
        <v>46418</v>
      </c>
      <c r="D40" s="97">
        <f>G17</f>
        <v>297703.64415999997</v>
      </c>
      <c r="F40" s="75">
        <v>46418</v>
      </c>
      <c r="G40" s="97">
        <f>G18</f>
        <v>162425.63583999997</v>
      </c>
    </row>
    <row r="41" spans="3:7" x14ac:dyDescent="0.2">
      <c r="C41" s="75">
        <v>46446</v>
      </c>
      <c r="D41" s="97">
        <f>H17</f>
        <v>347964.05344000005</v>
      </c>
      <c r="F41" s="75">
        <v>46446</v>
      </c>
      <c r="G41" s="97">
        <f>H18</f>
        <v>189847.46656</v>
      </c>
    </row>
    <row r="42" spans="3:7" x14ac:dyDescent="0.2">
      <c r="C42" s="75">
        <v>46477</v>
      </c>
      <c r="D42" s="97">
        <f>I17</f>
        <v>287030.13692000002</v>
      </c>
      <c r="F42" s="75">
        <v>46477</v>
      </c>
      <c r="G42" s="97">
        <f>I18</f>
        <v>156602.22308</v>
      </c>
    </row>
    <row r="43" spans="3:7" x14ac:dyDescent="0.2">
      <c r="C43" s="75">
        <v>46507</v>
      </c>
      <c r="D43" s="97">
        <f>J17</f>
        <v>337754.32874000003</v>
      </c>
      <c r="F43" s="75">
        <v>46507</v>
      </c>
      <c r="G43" s="97">
        <f>J18</f>
        <v>184277.09125999999</v>
      </c>
    </row>
    <row r="44" spans="3:7" x14ac:dyDescent="0.2">
      <c r="C44" s="75">
        <v>46538</v>
      </c>
      <c r="D44" s="97">
        <f>K17</f>
        <v>132301.60090000002</v>
      </c>
      <c r="F44" s="75">
        <v>46538</v>
      </c>
      <c r="G44" s="97">
        <f>K18</f>
        <v>72183.099100000007</v>
      </c>
    </row>
    <row r="45" spans="3:7" x14ac:dyDescent="0.2">
      <c r="C45" s="75">
        <v>46568</v>
      </c>
      <c r="D45" s="97">
        <f>L17</f>
        <v>132306.99041</v>
      </c>
      <c r="F45" s="75">
        <v>46568</v>
      </c>
      <c r="G45" s="97">
        <f>L18</f>
        <v>72186.03959</v>
      </c>
    </row>
    <row r="46" spans="3:7" x14ac:dyDescent="0.2">
      <c r="C46" s="75">
        <v>46599</v>
      </c>
      <c r="D46" s="97">
        <f>M17</f>
        <v>132301.60090000002</v>
      </c>
      <c r="F46" s="75">
        <v>46599</v>
      </c>
      <c r="G46" s="97">
        <f>M18</f>
        <v>72183.099100000007</v>
      </c>
    </row>
    <row r="47" spans="3:7" x14ac:dyDescent="0.2">
      <c r="C47" s="75">
        <v>46630</v>
      </c>
      <c r="D47" s="97">
        <f>N17</f>
        <v>132306.99041</v>
      </c>
      <c r="F47" s="75">
        <v>46630</v>
      </c>
      <c r="G47" s="97">
        <f>N18</f>
        <v>72186.03959</v>
      </c>
    </row>
    <row r="48" spans="3:7" x14ac:dyDescent="0.2">
      <c r="C48" s="75">
        <v>46660</v>
      </c>
      <c r="D48" s="97">
        <f>O17</f>
        <v>130565.86812</v>
      </c>
      <c r="F48" s="75">
        <v>46660</v>
      </c>
      <c r="G48" s="97">
        <f>O18</f>
        <v>71236.091879999993</v>
      </c>
    </row>
    <row r="49" spans="3:7" x14ac:dyDescent="0.2">
      <c r="C49" s="75">
        <v>46691</v>
      </c>
      <c r="D49" s="97">
        <f>P17</f>
        <v>130571.28350999999</v>
      </c>
      <c r="F49" s="75">
        <v>46691</v>
      </c>
      <c r="G49" s="97">
        <f>P18</f>
        <v>71239.046489999993</v>
      </c>
    </row>
    <row r="50" spans="3:7" x14ac:dyDescent="0.2">
      <c r="C50" s="75">
        <v>46721</v>
      </c>
      <c r="D50" s="97">
        <f>Q17</f>
        <v>55087.902730000002</v>
      </c>
      <c r="F50" s="75">
        <v>46721</v>
      </c>
      <c r="G50" s="97">
        <f>Q18</f>
        <v>30055.687269999999</v>
      </c>
    </row>
    <row r="51" spans="3:7" x14ac:dyDescent="0.2">
      <c r="C51" s="75">
        <v>46752</v>
      </c>
      <c r="D51" s="97">
        <f>R17</f>
        <v>55087.902730000002</v>
      </c>
      <c r="F51" s="75">
        <v>46752</v>
      </c>
      <c r="G51" s="97">
        <f>R18</f>
        <v>30055.687269999999</v>
      </c>
    </row>
    <row r="52" spans="3:7" x14ac:dyDescent="0.2">
      <c r="C52" s="75">
        <v>46783</v>
      </c>
      <c r="D52" s="97">
        <f>S17</f>
        <v>53487.153560000006</v>
      </c>
      <c r="F52" s="75">
        <v>46783</v>
      </c>
      <c r="G52" s="97">
        <f>S18</f>
        <v>29182.326440000001</v>
      </c>
    </row>
    <row r="53" spans="3:7" x14ac:dyDescent="0.2">
      <c r="C53" s="75">
        <v>46812</v>
      </c>
      <c r="D53" s="97">
        <f>T17</f>
        <v>51955.193430000007</v>
      </c>
      <c r="F53" s="75">
        <v>46812</v>
      </c>
      <c r="G53" s="97">
        <f>T18</f>
        <v>28346.496569999999</v>
      </c>
    </row>
    <row r="54" spans="3:7" x14ac:dyDescent="0.2">
      <c r="C54" s="75">
        <v>46843</v>
      </c>
      <c r="D54" s="97">
        <f>U17</f>
        <v>51955.193430000007</v>
      </c>
      <c r="F54" s="75">
        <v>46843</v>
      </c>
      <c r="G54" s="97">
        <f>U18</f>
        <v>28346.496569999999</v>
      </c>
    </row>
    <row r="55" spans="3:7" x14ac:dyDescent="0.2">
      <c r="C55" s="75">
        <v>46873</v>
      </c>
      <c r="D55" s="97">
        <f>V17</f>
        <v>51955.193430000007</v>
      </c>
      <c r="F55" s="75">
        <v>46873</v>
      </c>
      <c r="G55" s="97">
        <f>V18</f>
        <v>28346.496569999999</v>
      </c>
    </row>
    <row r="56" spans="3:7" x14ac:dyDescent="0.2">
      <c r="C56" s="93" t="s">
        <v>74</v>
      </c>
      <c r="D56" s="97">
        <f>SUM(D36:D55)</f>
        <v>4280034.8981900001</v>
      </c>
      <c r="F56" s="93" t="s">
        <v>74</v>
      </c>
      <c r="G56" s="97">
        <f>SUM(G36:G55)</f>
        <v>2335165.8718099995</v>
      </c>
    </row>
  </sheetData>
  <mergeCells count="11">
    <mergeCell ref="A27:B28"/>
    <mergeCell ref="H27:H28"/>
    <mergeCell ref="C34:D34"/>
    <mergeCell ref="F34:G34"/>
    <mergeCell ref="A19:B19"/>
    <mergeCell ref="A18:B18"/>
    <mergeCell ref="W2:W3"/>
    <mergeCell ref="A16:B16"/>
    <mergeCell ref="A15:B15"/>
    <mergeCell ref="A17:B17"/>
    <mergeCell ref="A2:B3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819EE-B1D7-CF43-B118-590F97033B56}">
  <dimension ref="A2:B24"/>
  <sheetViews>
    <sheetView topLeftCell="A4" workbookViewId="0">
      <selection activeCell="A2" sqref="A2:B22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2" spans="1:2" ht="36" customHeight="1" x14ac:dyDescent="0.2">
      <c r="A2" s="60" t="s">
        <v>186</v>
      </c>
      <c r="B2" s="60"/>
    </row>
    <row r="3" spans="1:2" s="33" customFormat="1" ht="20" customHeight="1" x14ac:dyDescent="0.2">
      <c r="A3" s="51" t="s">
        <v>101</v>
      </c>
      <c r="B3" s="53" t="s">
        <v>102</v>
      </c>
    </row>
    <row r="4" spans="1:2" s="33" customFormat="1" ht="20" customHeight="1" x14ac:dyDescent="0.2">
      <c r="A4" s="52" t="s">
        <v>6</v>
      </c>
      <c r="B4" s="56" t="s">
        <v>103</v>
      </c>
    </row>
    <row r="5" spans="1:2" s="33" customFormat="1" ht="20" customHeight="1" x14ac:dyDescent="0.2">
      <c r="A5" s="52" t="s">
        <v>104</v>
      </c>
      <c r="B5" s="54" t="s">
        <v>155</v>
      </c>
    </row>
    <row r="6" spans="1:2" s="33" customFormat="1" ht="20" customHeight="1" x14ac:dyDescent="0.2">
      <c r="A6" s="52" t="s">
        <v>105</v>
      </c>
      <c r="B6" s="56" t="s">
        <v>160</v>
      </c>
    </row>
    <row r="7" spans="1:2" s="33" customFormat="1" ht="20" customHeight="1" x14ac:dyDescent="0.2">
      <c r="A7" s="52" t="s">
        <v>106</v>
      </c>
      <c r="B7" s="56" t="s">
        <v>156</v>
      </c>
    </row>
    <row r="8" spans="1:2" s="33" customFormat="1" ht="20" customHeight="1" x14ac:dyDescent="0.2">
      <c r="A8" s="52" t="s">
        <v>112</v>
      </c>
      <c r="B8" s="56">
        <v>5120</v>
      </c>
    </row>
    <row r="9" spans="1:2" s="33" customFormat="1" ht="20" customHeight="1" x14ac:dyDescent="0.2">
      <c r="A9" s="52" t="s">
        <v>73</v>
      </c>
      <c r="B9" s="55" t="s">
        <v>157</v>
      </c>
    </row>
    <row r="10" spans="1:2" s="33" customFormat="1" ht="20" customHeight="1" x14ac:dyDescent="0.2">
      <c r="A10" s="52" t="s">
        <v>107</v>
      </c>
      <c r="B10" s="56" t="s">
        <v>108</v>
      </c>
    </row>
    <row r="11" spans="1:2" s="33" customFormat="1" ht="41" customHeight="1" x14ac:dyDescent="0.2">
      <c r="A11" s="52" t="s">
        <v>109</v>
      </c>
      <c r="B11" s="56" t="s">
        <v>158</v>
      </c>
    </row>
    <row r="12" spans="1:2" s="33" customFormat="1" ht="35" customHeight="1" x14ac:dyDescent="0.2">
      <c r="A12" s="52" t="s">
        <v>110</v>
      </c>
      <c r="B12" s="56" t="s">
        <v>111</v>
      </c>
    </row>
    <row r="14" spans="1:2" ht="66" customHeight="1" x14ac:dyDescent="0.2">
      <c r="A14" s="88" t="s">
        <v>159</v>
      </c>
      <c r="B14" s="88"/>
    </row>
    <row r="15" spans="1:2" s="33" customFormat="1" ht="20" customHeight="1" x14ac:dyDescent="0.2">
      <c r="A15" s="87" t="s">
        <v>143</v>
      </c>
      <c r="B15" s="86"/>
    </row>
    <row r="16" spans="1:2" s="33" customFormat="1" ht="20" customHeight="1" x14ac:dyDescent="0.2">
      <c r="A16" s="85">
        <v>46326</v>
      </c>
      <c r="B16" s="86"/>
    </row>
    <row r="17" spans="1:2" s="33" customFormat="1" ht="20" customHeight="1" x14ac:dyDescent="0.2">
      <c r="A17" s="81">
        <v>46418</v>
      </c>
      <c r="B17" s="86"/>
    </row>
    <row r="18" spans="1:2" s="33" customFormat="1" ht="20" customHeight="1" x14ac:dyDescent="0.2">
      <c r="A18" s="81">
        <v>46507</v>
      </c>
      <c r="B18" s="86"/>
    </row>
    <row r="19" spans="1:2" s="33" customFormat="1" ht="20" customHeight="1" x14ac:dyDescent="0.2">
      <c r="A19" s="81">
        <v>46599</v>
      </c>
      <c r="B19" s="86"/>
    </row>
    <row r="20" spans="1:2" s="33" customFormat="1" ht="20" customHeight="1" x14ac:dyDescent="0.2">
      <c r="A20" s="81">
        <v>46965</v>
      </c>
      <c r="B20" s="86"/>
    </row>
    <row r="21" spans="1:2" s="33" customFormat="1" ht="20" customHeight="1" x14ac:dyDescent="0.2">
      <c r="A21" s="81">
        <v>47330</v>
      </c>
      <c r="B21" s="86"/>
    </row>
    <row r="22" spans="1:2" s="33" customFormat="1" ht="20" customHeight="1" x14ac:dyDescent="0.2">
      <c r="A22" s="81">
        <v>47695</v>
      </c>
      <c r="B22" s="86"/>
    </row>
    <row r="23" spans="1:2" s="33" customFormat="1" ht="41" customHeight="1" x14ac:dyDescent="0.2"/>
    <row r="24" spans="1:2" s="33" customFormat="1" ht="20" customHeight="1" x14ac:dyDescent="0.2"/>
  </sheetData>
  <mergeCells count="3">
    <mergeCell ref="A2:B2"/>
    <mergeCell ref="A14:B14"/>
    <mergeCell ref="B15:B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9F6C-08F6-C743-9097-9CE0AB900249}">
  <dimension ref="A2:B24"/>
  <sheetViews>
    <sheetView workbookViewId="0">
      <selection activeCell="A2" sqref="A2:B22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2" spans="1:2" ht="36" customHeight="1" x14ac:dyDescent="0.2">
      <c r="A2" s="60" t="s">
        <v>161</v>
      </c>
      <c r="B2" s="60"/>
    </row>
    <row r="3" spans="1:2" s="33" customFormat="1" ht="20" customHeight="1" x14ac:dyDescent="0.2">
      <c r="A3" s="51" t="s">
        <v>101</v>
      </c>
      <c r="B3" s="53" t="s">
        <v>102</v>
      </c>
    </row>
    <row r="4" spans="1:2" s="33" customFormat="1" ht="20" customHeight="1" x14ac:dyDescent="0.2">
      <c r="A4" s="52" t="s">
        <v>6</v>
      </c>
      <c r="B4" s="56" t="s">
        <v>103</v>
      </c>
    </row>
    <row r="5" spans="1:2" s="33" customFormat="1" ht="20" customHeight="1" x14ac:dyDescent="0.2">
      <c r="A5" s="52" t="s">
        <v>104</v>
      </c>
      <c r="B5" s="54" t="s">
        <v>155</v>
      </c>
    </row>
    <row r="6" spans="1:2" s="33" customFormat="1" ht="20" customHeight="1" x14ac:dyDescent="0.2">
      <c r="A6" s="52" t="s">
        <v>105</v>
      </c>
      <c r="B6" s="56" t="s">
        <v>124</v>
      </c>
    </row>
    <row r="7" spans="1:2" s="33" customFormat="1" ht="20" customHeight="1" x14ac:dyDescent="0.2">
      <c r="A7" s="52" t="s">
        <v>106</v>
      </c>
      <c r="B7" s="56" t="s">
        <v>156</v>
      </c>
    </row>
    <row r="8" spans="1:2" s="33" customFormat="1" ht="20" customHeight="1" x14ac:dyDescent="0.2">
      <c r="A8" s="52" t="s">
        <v>112</v>
      </c>
      <c r="B8" s="56">
        <v>5120</v>
      </c>
    </row>
    <row r="9" spans="1:2" s="33" customFormat="1" ht="20" customHeight="1" x14ac:dyDescent="0.2">
      <c r="A9" s="52" t="s">
        <v>73</v>
      </c>
      <c r="B9" s="55" t="s">
        <v>157</v>
      </c>
    </row>
    <row r="10" spans="1:2" s="33" customFormat="1" ht="20" customHeight="1" x14ac:dyDescent="0.2">
      <c r="A10" s="52" t="s">
        <v>107</v>
      </c>
      <c r="B10" s="56" t="s">
        <v>108</v>
      </c>
    </row>
    <row r="11" spans="1:2" s="33" customFormat="1" ht="41" customHeight="1" x14ac:dyDescent="0.2">
      <c r="A11" s="52" t="s">
        <v>109</v>
      </c>
      <c r="B11" s="56" t="s">
        <v>158</v>
      </c>
    </row>
    <row r="12" spans="1:2" s="33" customFormat="1" ht="35" customHeight="1" x14ac:dyDescent="0.2">
      <c r="A12" s="52" t="s">
        <v>110</v>
      </c>
      <c r="B12" s="56" t="s">
        <v>111</v>
      </c>
    </row>
    <row r="14" spans="1:2" ht="66" customHeight="1" x14ac:dyDescent="0.2">
      <c r="A14" s="88" t="s">
        <v>159</v>
      </c>
      <c r="B14" s="88"/>
    </row>
    <row r="15" spans="1:2" s="33" customFormat="1" ht="20" customHeight="1" x14ac:dyDescent="0.2">
      <c r="A15" s="87" t="s">
        <v>143</v>
      </c>
      <c r="B15" s="86"/>
    </row>
    <row r="16" spans="1:2" s="33" customFormat="1" ht="20" customHeight="1" x14ac:dyDescent="0.2">
      <c r="A16" s="85">
        <v>46326</v>
      </c>
      <c r="B16" s="86"/>
    </row>
    <row r="17" spans="1:2" s="33" customFormat="1" ht="20" customHeight="1" x14ac:dyDescent="0.2">
      <c r="A17" s="81">
        <v>46418</v>
      </c>
      <c r="B17" s="86"/>
    </row>
    <row r="18" spans="1:2" s="33" customFormat="1" ht="20" customHeight="1" x14ac:dyDescent="0.2">
      <c r="A18" s="81">
        <v>46507</v>
      </c>
      <c r="B18" s="86"/>
    </row>
    <row r="19" spans="1:2" s="33" customFormat="1" ht="20" customHeight="1" x14ac:dyDescent="0.2">
      <c r="A19" s="81">
        <v>46599</v>
      </c>
      <c r="B19" s="86"/>
    </row>
    <row r="20" spans="1:2" s="33" customFormat="1" ht="20" customHeight="1" x14ac:dyDescent="0.2">
      <c r="A20" s="81">
        <v>46965</v>
      </c>
      <c r="B20" s="86"/>
    </row>
    <row r="21" spans="1:2" s="33" customFormat="1" ht="20" customHeight="1" x14ac:dyDescent="0.2">
      <c r="A21" s="81">
        <v>47330</v>
      </c>
      <c r="B21" s="86"/>
    </row>
    <row r="22" spans="1:2" s="33" customFormat="1" ht="20" customHeight="1" x14ac:dyDescent="0.2">
      <c r="A22" s="81">
        <v>47695</v>
      </c>
      <c r="B22" s="86"/>
    </row>
    <row r="23" spans="1:2" s="33" customFormat="1" ht="41" customHeight="1" x14ac:dyDescent="0.2"/>
    <row r="24" spans="1:2" s="33" customFormat="1" ht="20" customHeight="1" x14ac:dyDescent="0.2"/>
  </sheetData>
  <mergeCells count="3">
    <mergeCell ref="A2:B2"/>
    <mergeCell ref="A14:B14"/>
    <mergeCell ref="B15:B2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1C320-A372-0547-92C1-2CB5E56FC242}">
  <dimension ref="A2:E26"/>
  <sheetViews>
    <sheetView topLeftCell="A9" workbookViewId="0">
      <selection activeCell="A2" sqref="A2:D26"/>
    </sheetView>
  </sheetViews>
  <sheetFormatPr baseColWidth="10" defaultRowHeight="15" x14ac:dyDescent="0.2"/>
  <cols>
    <col min="1" max="1" width="15.1640625" bestFit="1" customWidth="1"/>
    <col min="2" max="3" width="15.1640625" customWidth="1"/>
    <col min="4" max="4" width="49.1640625" customWidth="1"/>
  </cols>
  <sheetData>
    <row r="2" spans="1:5" ht="36" customHeight="1" x14ac:dyDescent="0.2">
      <c r="A2" s="60" t="s">
        <v>150</v>
      </c>
      <c r="B2" s="60"/>
      <c r="C2" s="60"/>
      <c r="D2" s="60"/>
    </row>
    <row r="3" spans="1:5" s="33" customFormat="1" ht="20" customHeight="1" x14ac:dyDescent="0.2">
      <c r="A3" s="51" t="s">
        <v>101</v>
      </c>
      <c r="B3" s="64" t="s">
        <v>102</v>
      </c>
      <c r="C3" s="65"/>
      <c r="D3" s="66"/>
    </row>
    <row r="4" spans="1:5" s="33" customFormat="1" ht="20" customHeight="1" x14ac:dyDescent="0.2">
      <c r="A4" s="52" t="s">
        <v>6</v>
      </c>
      <c r="B4" s="67" t="s">
        <v>103</v>
      </c>
      <c r="C4" s="68"/>
      <c r="D4" s="69"/>
    </row>
    <row r="5" spans="1:5" s="33" customFormat="1" ht="20" customHeight="1" x14ac:dyDescent="0.2">
      <c r="A5" s="52" t="s">
        <v>104</v>
      </c>
      <c r="B5" s="70" t="s">
        <v>148</v>
      </c>
      <c r="C5" s="71"/>
      <c r="D5" s="72"/>
    </row>
    <row r="6" spans="1:5" s="33" customFormat="1" ht="20" customHeight="1" x14ac:dyDescent="0.2">
      <c r="A6" s="52" t="s">
        <v>105</v>
      </c>
      <c r="B6" s="67" t="s">
        <v>124</v>
      </c>
      <c r="C6" s="68"/>
      <c r="D6" s="69"/>
    </row>
    <row r="7" spans="1:5" s="33" customFormat="1" ht="20" customHeight="1" x14ac:dyDescent="0.2">
      <c r="A7" s="52" t="s">
        <v>106</v>
      </c>
      <c r="B7" s="67" t="s">
        <v>146</v>
      </c>
      <c r="C7" s="68"/>
      <c r="D7" s="69"/>
    </row>
    <row r="8" spans="1:5" s="33" customFormat="1" ht="20" customHeight="1" x14ac:dyDescent="0.2">
      <c r="A8" s="52" t="s">
        <v>112</v>
      </c>
      <c r="B8" s="67">
        <v>141</v>
      </c>
      <c r="C8" s="68"/>
      <c r="D8" s="69"/>
    </row>
    <row r="9" spans="1:5" s="33" customFormat="1" ht="20" customHeight="1" x14ac:dyDescent="0.2">
      <c r="A9" s="52" t="s">
        <v>73</v>
      </c>
      <c r="B9" s="82" t="s">
        <v>152</v>
      </c>
      <c r="C9" s="83"/>
      <c r="D9" s="84"/>
    </row>
    <row r="10" spans="1:5" s="33" customFormat="1" ht="20" customHeight="1" x14ac:dyDescent="0.2">
      <c r="A10" s="52" t="s">
        <v>107</v>
      </c>
      <c r="B10" s="67" t="s">
        <v>108</v>
      </c>
      <c r="C10" s="68"/>
      <c r="D10" s="69"/>
    </row>
    <row r="11" spans="1:5" s="33" customFormat="1" ht="41" customHeight="1" x14ac:dyDescent="0.2">
      <c r="A11" s="52" t="s">
        <v>109</v>
      </c>
      <c r="B11" s="67" t="s">
        <v>154</v>
      </c>
      <c r="C11" s="68"/>
      <c r="D11" s="69"/>
    </row>
    <row r="12" spans="1:5" s="33" customFormat="1" ht="35" customHeight="1" x14ac:dyDescent="0.2">
      <c r="A12" s="52" t="s">
        <v>110</v>
      </c>
      <c r="B12" s="67" t="s">
        <v>153</v>
      </c>
      <c r="C12" s="68"/>
      <c r="D12" s="69"/>
    </row>
    <row r="13" spans="1:5" s="33" customFormat="1" ht="20" customHeight="1" x14ac:dyDescent="0.2">
      <c r="A13" s="63" t="s">
        <v>149</v>
      </c>
      <c r="B13" s="63"/>
      <c r="C13" s="63"/>
      <c r="D13" s="105"/>
    </row>
    <row r="14" spans="1:5" ht="32" x14ac:dyDescent="0.2">
      <c r="A14" s="73" t="s">
        <v>142</v>
      </c>
      <c r="B14" s="74" t="s">
        <v>143</v>
      </c>
      <c r="C14" s="57" t="s">
        <v>73</v>
      </c>
      <c r="D14" s="106"/>
      <c r="E14" s="62"/>
    </row>
    <row r="15" spans="1:5" s="44" customFormat="1" ht="21" customHeight="1" x14ac:dyDescent="0.2">
      <c r="A15" s="81">
        <v>46244</v>
      </c>
      <c r="B15" s="45">
        <v>46265</v>
      </c>
      <c r="C15" s="79">
        <v>270220</v>
      </c>
      <c r="D15" s="106"/>
      <c r="E15" s="80"/>
    </row>
    <row r="16" spans="1:5" s="44" customFormat="1" ht="20" customHeight="1" x14ac:dyDescent="0.2">
      <c r="A16" s="81">
        <v>46275</v>
      </c>
      <c r="B16" s="45">
        <v>46295</v>
      </c>
      <c r="C16" s="79">
        <v>270220</v>
      </c>
      <c r="D16" s="106"/>
      <c r="E16" s="80"/>
    </row>
    <row r="17" spans="1:5" s="44" customFormat="1" ht="20" customHeight="1" x14ac:dyDescent="0.2">
      <c r="A17" s="81">
        <v>46305</v>
      </c>
      <c r="B17" s="45">
        <v>46326</v>
      </c>
      <c r="C17" s="79">
        <v>270220</v>
      </c>
      <c r="D17" s="106"/>
      <c r="E17" s="80"/>
    </row>
    <row r="18" spans="1:5" s="44" customFormat="1" ht="20" customHeight="1" x14ac:dyDescent="0.2">
      <c r="A18" s="81">
        <v>46336</v>
      </c>
      <c r="B18" s="45">
        <v>46356</v>
      </c>
      <c r="C18" s="79">
        <v>270220</v>
      </c>
      <c r="D18" s="106"/>
      <c r="E18" s="80"/>
    </row>
    <row r="19" spans="1:5" s="44" customFormat="1" ht="20" customHeight="1" x14ac:dyDescent="0.2">
      <c r="A19" s="81">
        <v>46366</v>
      </c>
      <c r="B19" s="45">
        <v>46387</v>
      </c>
      <c r="C19" s="79">
        <v>270220</v>
      </c>
      <c r="D19" s="106"/>
      <c r="E19" s="80"/>
    </row>
    <row r="20" spans="1:5" s="44" customFormat="1" ht="20" customHeight="1" x14ac:dyDescent="0.2">
      <c r="A20" s="81">
        <v>46397</v>
      </c>
      <c r="B20" s="45">
        <v>46418</v>
      </c>
      <c r="C20" s="79">
        <v>270220</v>
      </c>
      <c r="D20" s="106"/>
      <c r="E20" s="80"/>
    </row>
    <row r="21" spans="1:5" s="44" customFormat="1" ht="20" customHeight="1" x14ac:dyDescent="0.2">
      <c r="A21" s="81">
        <v>46428</v>
      </c>
      <c r="B21" s="45">
        <v>46446</v>
      </c>
      <c r="C21" s="79">
        <v>270220</v>
      </c>
      <c r="D21" s="106"/>
      <c r="E21" s="80"/>
    </row>
    <row r="22" spans="1:5" s="44" customFormat="1" ht="20" customHeight="1" x14ac:dyDescent="0.2">
      <c r="A22" s="81">
        <v>46456</v>
      </c>
      <c r="B22" s="45">
        <v>46477</v>
      </c>
      <c r="C22" s="79">
        <v>270220</v>
      </c>
      <c r="D22" s="106"/>
      <c r="E22" s="80"/>
    </row>
    <row r="23" spans="1:5" s="44" customFormat="1" ht="20" customHeight="1" x14ac:dyDescent="0.2">
      <c r="A23" s="81">
        <v>46487</v>
      </c>
      <c r="B23" s="45">
        <v>46507</v>
      </c>
      <c r="C23" s="79">
        <v>270220</v>
      </c>
      <c r="D23" s="106"/>
      <c r="E23" s="80"/>
    </row>
    <row r="24" spans="1:5" s="44" customFormat="1" ht="21" customHeight="1" x14ac:dyDescent="0.2">
      <c r="A24" s="81">
        <v>46517</v>
      </c>
      <c r="B24" s="45">
        <v>46538</v>
      </c>
      <c r="C24" s="79">
        <v>270220</v>
      </c>
      <c r="D24" s="106"/>
      <c r="E24" s="80"/>
    </row>
    <row r="25" spans="1:5" s="44" customFormat="1" ht="20" customHeight="1" x14ac:dyDescent="0.2">
      <c r="A25" s="81">
        <v>46548</v>
      </c>
      <c r="B25" s="45">
        <v>46568</v>
      </c>
      <c r="C25" s="79">
        <v>270220</v>
      </c>
      <c r="D25" s="106"/>
      <c r="E25" s="80"/>
    </row>
    <row r="26" spans="1:5" s="44" customFormat="1" x14ac:dyDescent="0.2">
      <c r="A26" s="81">
        <v>46578</v>
      </c>
      <c r="B26" s="45">
        <v>46599</v>
      </c>
      <c r="C26" s="79">
        <v>270220</v>
      </c>
      <c r="D26" s="106"/>
      <c r="E26" s="80"/>
    </row>
  </sheetData>
  <mergeCells count="13">
    <mergeCell ref="B12:D12"/>
    <mergeCell ref="B10:D10"/>
    <mergeCell ref="B8:D8"/>
    <mergeCell ref="B6:D6"/>
    <mergeCell ref="B4:D4"/>
    <mergeCell ref="A13:C13"/>
    <mergeCell ref="D13:D26"/>
    <mergeCell ref="A2:D2"/>
    <mergeCell ref="B5:D5"/>
    <mergeCell ref="B11:D11"/>
    <mergeCell ref="B9:D9"/>
    <mergeCell ref="B7:D7"/>
    <mergeCell ref="B3:D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28D04-198A-4A4F-A542-E99883417EBD}">
  <dimension ref="A2:E27"/>
  <sheetViews>
    <sheetView workbookViewId="0">
      <selection activeCell="A2" sqref="A2:D27"/>
    </sheetView>
  </sheetViews>
  <sheetFormatPr baseColWidth="10" defaultRowHeight="15" x14ac:dyDescent="0.2"/>
  <cols>
    <col min="1" max="1" width="15.1640625" bestFit="1" customWidth="1"/>
    <col min="2" max="3" width="15.1640625" customWidth="1"/>
    <col min="4" max="4" width="48.83203125" customWidth="1"/>
    <col min="5" max="5" width="15.1640625" customWidth="1"/>
  </cols>
  <sheetData>
    <row r="2" spans="1:5" ht="36" customHeight="1" x14ac:dyDescent="0.2">
      <c r="A2" s="60" t="s">
        <v>151</v>
      </c>
      <c r="B2" s="60"/>
      <c r="C2" s="60"/>
      <c r="D2" s="60"/>
    </row>
    <row r="3" spans="1:5" s="33" customFormat="1" ht="20" customHeight="1" x14ac:dyDescent="0.2">
      <c r="A3" s="51" t="s">
        <v>101</v>
      </c>
      <c r="B3" s="64" t="s">
        <v>102</v>
      </c>
      <c r="C3" s="65"/>
      <c r="D3" s="66"/>
    </row>
    <row r="4" spans="1:5" s="33" customFormat="1" ht="20" customHeight="1" x14ac:dyDescent="0.2">
      <c r="A4" s="52" t="s">
        <v>6</v>
      </c>
      <c r="B4" s="67" t="s">
        <v>103</v>
      </c>
      <c r="C4" s="68"/>
      <c r="D4" s="69"/>
    </row>
    <row r="5" spans="1:5" s="33" customFormat="1" ht="20" customHeight="1" x14ac:dyDescent="0.2">
      <c r="A5" s="52" t="s">
        <v>104</v>
      </c>
      <c r="B5" s="70" t="s">
        <v>147</v>
      </c>
      <c r="C5" s="71"/>
      <c r="D5" s="72"/>
    </row>
    <row r="6" spans="1:5" s="33" customFormat="1" ht="20" customHeight="1" x14ac:dyDescent="0.2">
      <c r="A6" s="52" t="s">
        <v>105</v>
      </c>
      <c r="B6" s="67" t="s">
        <v>125</v>
      </c>
      <c r="C6" s="68"/>
      <c r="D6" s="69"/>
    </row>
    <row r="7" spans="1:5" s="33" customFormat="1" ht="20" customHeight="1" x14ac:dyDescent="0.2">
      <c r="A7" s="52" t="s">
        <v>106</v>
      </c>
      <c r="B7" s="67" t="s">
        <v>139</v>
      </c>
      <c r="C7" s="68"/>
      <c r="D7" s="69"/>
    </row>
    <row r="8" spans="1:5" s="33" customFormat="1" ht="20" customHeight="1" x14ac:dyDescent="0.2">
      <c r="A8" s="52" t="s">
        <v>112</v>
      </c>
      <c r="B8" s="67">
        <v>141</v>
      </c>
      <c r="C8" s="68"/>
      <c r="D8" s="69"/>
    </row>
    <row r="9" spans="1:5" s="33" customFormat="1" ht="20" customHeight="1" x14ac:dyDescent="0.2">
      <c r="A9" s="52" t="s">
        <v>73</v>
      </c>
      <c r="B9" s="82" t="s">
        <v>152</v>
      </c>
      <c r="C9" s="83"/>
      <c r="D9" s="84"/>
    </row>
    <row r="10" spans="1:5" s="33" customFormat="1" ht="20" customHeight="1" x14ac:dyDescent="0.2">
      <c r="A10" s="52" t="s">
        <v>107</v>
      </c>
      <c r="B10" s="67" t="s">
        <v>108</v>
      </c>
      <c r="C10" s="68"/>
      <c r="D10" s="69"/>
    </row>
    <row r="11" spans="1:5" s="33" customFormat="1" ht="41" customHeight="1" x14ac:dyDescent="0.2">
      <c r="A11" s="52" t="s">
        <v>109</v>
      </c>
      <c r="B11" s="67" t="s">
        <v>141</v>
      </c>
      <c r="C11" s="68"/>
      <c r="D11" s="69"/>
    </row>
    <row r="12" spans="1:5" s="33" customFormat="1" ht="20" customHeight="1" x14ac:dyDescent="0.2">
      <c r="A12" s="52" t="s">
        <v>110</v>
      </c>
      <c r="B12" s="67" t="s">
        <v>140</v>
      </c>
      <c r="C12" s="68"/>
      <c r="D12" s="69"/>
    </row>
    <row r="13" spans="1:5" s="33" customFormat="1" ht="20" customHeight="1" x14ac:dyDescent="0.2">
      <c r="A13" s="52" t="s">
        <v>144</v>
      </c>
      <c r="B13" s="78" t="s">
        <v>145</v>
      </c>
      <c r="C13" s="78"/>
      <c r="D13" s="78"/>
    </row>
    <row r="14" spans="1:5" s="33" customFormat="1" ht="20" customHeight="1" x14ac:dyDescent="0.2">
      <c r="A14" s="63" t="s">
        <v>149</v>
      </c>
      <c r="B14" s="63"/>
      <c r="C14" s="63"/>
      <c r="D14" s="77"/>
    </row>
    <row r="15" spans="1:5" ht="32" x14ac:dyDescent="0.2">
      <c r="A15" s="73" t="s">
        <v>142</v>
      </c>
      <c r="B15" s="74" t="s">
        <v>143</v>
      </c>
      <c r="C15" s="57" t="s">
        <v>73</v>
      </c>
      <c r="D15" s="76"/>
      <c r="E15" s="62"/>
    </row>
    <row r="16" spans="1:5" s="44" customFormat="1" ht="21" customHeight="1" x14ac:dyDescent="0.2">
      <c r="A16" s="81">
        <v>46244</v>
      </c>
      <c r="B16" s="45">
        <v>46265</v>
      </c>
      <c r="C16" s="79">
        <v>936585</v>
      </c>
      <c r="D16" s="76"/>
      <c r="E16" s="80"/>
    </row>
    <row r="17" spans="1:5" s="44" customFormat="1" ht="20" customHeight="1" x14ac:dyDescent="0.2">
      <c r="A17" s="81">
        <v>46275</v>
      </c>
      <c r="B17" s="45">
        <v>46295</v>
      </c>
      <c r="C17" s="79">
        <v>936585</v>
      </c>
      <c r="D17" s="76"/>
      <c r="E17" s="80"/>
    </row>
    <row r="18" spans="1:5" s="44" customFormat="1" ht="20" customHeight="1" x14ac:dyDescent="0.2">
      <c r="A18" s="81">
        <v>46305</v>
      </c>
      <c r="B18" s="45">
        <v>46326</v>
      </c>
      <c r="C18" s="79">
        <v>936585</v>
      </c>
      <c r="D18" s="76"/>
      <c r="E18" s="80"/>
    </row>
    <row r="19" spans="1:5" s="44" customFormat="1" ht="20" customHeight="1" x14ac:dyDescent="0.2">
      <c r="A19" s="81">
        <v>46336</v>
      </c>
      <c r="B19" s="45">
        <v>46356</v>
      </c>
      <c r="C19" s="79">
        <v>936585</v>
      </c>
      <c r="D19" s="76"/>
      <c r="E19" s="80"/>
    </row>
    <row r="20" spans="1:5" s="44" customFormat="1" ht="20" customHeight="1" x14ac:dyDescent="0.2">
      <c r="A20" s="81">
        <v>46366</v>
      </c>
      <c r="B20" s="45">
        <v>46387</v>
      </c>
      <c r="C20" s="79">
        <v>936585</v>
      </c>
      <c r="D20" s="76"/>
      <c r="E20" s="80"/>
    </row>
    <row r="21" spans="1:5" s="44" customFormat="1" ht="20" customHeight="1" x14ac:dyDescent="0.2">
      <c r="A21" s="81">
        <v>46397</v>
      </c>
      <c r="B21" s="45">
        <v>46418</v>
      </c>
      <c r="C21" s="79">
        <v>936585</v>
      </c>
      <c r="D21" s="76"/>
      <c r="E21" s="80"/>
    </row>
    <row r="22" spans="1:5" s="44" customFormat="1" ht="20" customHeight="1" x14ac:dyDescent="0.2">
      <c r="A22" s="81">
        <v>46428</v>
      </c>
      <c r="B22" s="45">
        <v>46446</v>
      </c>
      <c r="C22" s="79">
        <v>936585</v>
      </c>
      <c r="D22" s="76"/>
      <c r="E22" s="80"/>
    </row>
    <row r="23" spans="1:5" s="44" customFormat="1" ht="20" customHeight="1" x14ac:dyDescent="0.2">
      <c r="A23" s="81">
        <v>46456</v>
      </c>
      <c r="B23" s="45">
        <v>46477</v>
      </c>
      <c r="C23" s="79">
        <v>936585</v>
      </c>
      <c r="D23" s="76"/>
      <c r="E23" s="80"/>
    </row>
    <row r="24" spans="1:5" s="44" customFormat="1" ht="20" customHeight="1" x14ac:dyDescent="0.2">
      <c r="A24" s="81">
        <v>46487</v>
      </c>
      <c r="B24" s="45">
        <v>46507</v>
      </c>
      <c r="C24" s="79">
        <v>936585</v>
      </c>
      <c r="D24" s="76"/>
      <c r="E24" s="80"/>
    </row>
    <row r="25" spans="1:5" s="44" customFormat="1" ht="21" customHeight="1" x14ac:dyDescent="0.2">
      <c r="A25" s="81">
        <v>46517</v>
      </c>
      <c r="B25" s="45">
        <v>46538</v>
      </c>
      <c r="C25" s="79">
        <v>936585</v>
      </c>
      <c r="D25" s="76"/>
      <c r="E25" s="80"/>
    </row>
    <row r="26" spans="1:5" s="44" customFormat="1" ht="20" customHeight="1" x14ac:dyDescent="0.2">
      <c r="A26" s="81">
        <v>46548</v>
      </c>
      <c r="B26" s="45">
        <v>46568</v>
      </c>
      <c r="C26" s="79">
        <v>936585</v>
      </c>
      <c r="D26" s="76"/>
      <c r="E26" s="80"/>
    </row>
    <row r="27" spans="1:5" s="44" customFormat="1" x14ac:dyDescent="0.2">
      <c r="A27" s="81">
        <v>46578</v>
      </c>
      <c r="B27" s="45">
        <v>46599</v>
      </c>
      <c r="C27" s="79">
        <v>936585</v>
      </c>
      <c r="D27" s="76"/>
      <c r="E27" s="80"/>
    </row>
  </sheetData>
  <mergeCells count="14">
    <mergeCell ref="A14:C14"/>
    <mergeCell ref="D14:D27"/>
    <mergeCell ref="B12:D12"/>
    <mergeCell ref="B10:D10"/>
    <mergeCell ref="B8:D8"/>
    <mergeCell ref="B6:D6"/>
    <mergeCell ref="B4:D4"/>
    <mergeCell ref="B13:D13"/>
    <mergeCell ref="A2:D2"/>
    <mergeCell ref="B3:D3"/>
    <mergeCell ref="B11:D11"/>
    <mergeCell ref="B9:D9"/>
    <mergeCell ref="B7:D7"/>
    <mergeCell ref="B5:D5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59473-6E36-314A-B2B9-46824FB666CF}">
  <dimension ref="A2:B24"/>
  <sheetViews>
    <sheetView workbookViewId="0">
      <selection activeCell="A2" sqref="A2:B12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2" spans="1:2" ht="36" customHeight="1" x14ac:dyDescent="0.2">
      <c r="A2" s="60" t="s">
        <v>135</v>
      </c>
      <c r="B2" s="60"/>
    </row>
    <row r="3" spans="1:2" s="33" customFormat="1" ht="20" customHeight="1" x14ac:dyDescent="0.2">
      <c r="A3" s="51" t="s">
        <v>101</v>
      </c>
      <c r="B3" s="53" t="s">
        <v>102</v>
      </c>
    </row>
    <row r="4" spans="1:2" s="33" customFormat="1" ht="20" customHeight="1" x14ac:dyDescent="0.2">
      <c r="A4" s="52" t="s">
        <v>6</v>
      </c>
      <c r="B4" s="56" t="s">
        <v>103</v>
      </c>
    </row>
    <row r="5" spans="1:2" s="33" customFormat="1" ht="20" customHeight="1" x14ac:dyDescent="0.2">
      <c r="A5" s="52" t="s">
        <v>104</v>
      </c>
      <c r="B5" s="54">
        <v>46230</v>
      </c>
    </row>
    <row r="6" spans="1:2" s="33" customFormat="1" ht="20" customHeight="1" x14ac:dyDescent="0.2">
      <c r="A6" s="52" t="s">
        <v>105</v>
      </c>
      <c r="B6" s="56" t="s">
        <v>124</v>
      </c>
    </row>
    <row r="7" spans="1:2" s="33" customFormat="1" ht="20" customHeight="1" x14ac:dyDescent="0.2">
      <c r="A7" s="52" t="s">
        <v>106</v>
      </c>
      <c r="B7" s="56" t="s">
        <v>136</v>
      </c>
    </row>
    <row r="8" spans="1:2" s="33" customFormat="1" ht="20" customHeight="1" x14ac:dyDescent="0.2">
      <c r="A8" s="52" t="s">
        <v>112</v>
      </c>
      <c r="B8" s="56">
        <v>141</v>
      </c>
    </row>
    <row r="9" spans="1:2" s="33" customFormat="1" ht="20" customHeight="1" x14ac:dyDescent="0.2">
      <c r="A9" s="52" t="s">
        <v>73</v>
      </c>
      <c r="B9" s="55">
        <v>21432792.09</v>
      </c>
    </row>
    <row r="10" spans="1:2" s="33" customFormat="1" ht="20" customHeight="1" x14ac:dyDescent="0.2">
      <c r="A10" s="52" t="s">
        <v>107</v>
      </c>
      <c r="B10" s="56" t="s">
        <v>108</v>
      </c>
    </row>
    <row r="11" spans="1:2" s="33" customFormat="1" ht="41" customHeight="1" x14ac:dyDescent="0.2">
      <c r="A11" s="52" t="s">
        <v>109</v>
      </c>
      <c r="B11" s="56" t="s">
        <v>137</v>
      </c>
    </row>
    <row r="12" spans="1:2" s="33" customFormat="1" ht="35" customHeight="1" x14ac:dyDescent="0.2">
      <c r="A12" s="52" t="s">
        <v>110</v>
      </c>
      <c r="B12" s="56" t="s">
        <v>138</v>
      </c>
    </row>
    <row r="14" spans="1:2" ht="36" customHeight="1" x14ac:dyDescent="0.2"/>
    <row r="15" spans="1:2" s="33" customFormat="1" ht="20" customHeight="1" x14ac:dyDescent="0.2"/>
    <row r="16" spans="1:2" s="33" customFormat="1" ht="20" customHeight="1" x14ac:dyDescent="0.2"/>
    <row r="17" s="33" customFormat="1" ht="20" customHeight="1" x14ac:dyDescent="0.2"/>
    <row r="18" s="33" customFormat="1" ht="20" customHeight="1" x14ac:dyDescent="0.2"/>
    <row r="19" s="33" customFormat="1" ht="20" customHeight="1" x14ac:dyDescent="0.2"/>
    <row r="20" s="33" customFormat="1" ht="20" customHeight="1" x14ac:dyDescent="0.2"/>
    <row r="21" s="33" customFormat="1" ht="20" customHeight="1" x14ac:dyDescent="0.2"/>
    <row r="22" s="33" customFormat="1" ht="20" customHeight="1" x14ac:dyDescent="0.2"/>
    <row r="23" s="33" customFormat="1" ht="41" customHeight="1" x14ac:dyDescent="0.2"/>
    <row r="24" s="33" customFormat="1" ht="20" customHeight="1" x14ac:dyDescent="0.2"/>
  </sheetData>
  <mergeCells count="1">
    <mergeCell ref="A2:B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6A44-B432-0A4F-92D4-CF2493D6E153}">
  <dimension ref="A2:B24"/>
  <sheetViews>
    <sheetView topLeftCell="A2" workbookViewId="0">
      <selection activeCell="A2" sqref="A2:B12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2" spans="1:2" ht="36" customHeight="1" x14ac:dyDescent="0.2">
      <c r="A2" s="60" t="s">
        <v>131</v>
      </c>
      <c r="B2" s="60"/>
    </row>
    <row r="3" spans="1:2" s="33" customFormat="1" ht="20" customHeight="1" x14ac:dyDescent="0.2">
      <c r="A3" s="51" t="s">
        <v>101</v>
      </c>
      <c r="B3" s="53" t="s">
        <v>102</v>
      </c>
    </row>
    <row r="4" spans="1:2" s="33" customFormat="1" ht="20" customHeight="1" x14ac:dyDescent="0.2">
      <c r="A4" s="52" t="s">
        <v>6</v>
      </c>
      <c r="B4" s="56" t="s">
        <v>103</v>
      </c>
    </row>
    <row r="5" spans="1:2" s="33" customFormat="1" ht="20" customHeight="1" x14ac:dyDescent="0.2">
      <c r="A5" s="52" t="s">
        <v>104</v>
      </c>
      <c r="B5" s="54">
        <v>46230</v>
      </c>
    </row>
    <row r="6" spans="1:2" s="33" customFormat="1" ht="20" customHeight="1" x14ac:dyDescent="0.2">
      <c r="A6" s="52" t="s">
        <v>105</v>
      </c>
      <c r="B6" s="56" t="s">
        <v>125</v>
      </c>
    </row>
    <row r="7" spans="1:2" s="33" customFormat="1" ht="20" customHeight="1" x14ac:dyDescent="0.2">
      <c r="A7" s="52" t="s">
        <v>106</v>
      </c>
      <c r="B7" s="56" t="s">
        <v>132</v>
      </c>
    </row>
    <row r="8" spans="1:2" s="33" customFormat="1" ht="20" customHeight="1" x14ac:dyDescent="0.2">
      <c r="A8" s="52" t="s">
        <v>112</v>
      </c>
      <c r="B8" s="56">
        <v>141</v>
      </c>
    </row>
    <row r="9" spans="1:2" s="33" customFormat="1" ht="20" customHeight="1" x14ac:dyDescent="0.2">
      <c r="A9" s="52" t="s">
        <v>73</v>
      </c>
      <c r="B9" s="55">
        <v>28762281</v>
      </c>
    </row>
    <row r="10" spans="1:2" s="33" customFormat="1" ht="20" customHeight="1" x14ac:dyDescent="0.2">
      <c r="A10" s="52" t="s">
        <v>107</v>
      </c>
      <c r="B10" s="56" t="s">
        <v>108</v>
      </c>
    </row>
    <row r="11" spans="1:2" s="33" customFormat="1" ht="41" customHeight="1" x14ac:dyDescent="0.2">
      <c r="A11" s="52" t="s">
        <v>109</v>
      </c>
      <c r="B11" s="56" t="s">
        <v>133</v>
      </c>
    </row>
    <row r="12" spans="1:2" s="33" customFormat="1" ht="20" customHeight="1" x14ac:dyDescent="0.2">
      <c r="A12" s="52" t="s">
        <v>110</v>
      </c>
      <c r="B12" s="56" t="s">
        <v>134</v>
      </c>
    </row>
    <row r="14" spans="1:2" ht="36" customHeight="1" x14ac:dyDescent="0.2"/>
    <row r="15" spans="1:2" s="33" customFormat="1" ht="20" customHeight="1" x14ac:dyDescent="0.2"/>
    <row r="16" spans="1:2" s="33" customFormat="1" ht="20" customHeight="1" x14ac:dyDescent="0.2"/>
    <row r="17" s="33" customFormat="1" ht="20" customHeight="1" x14ac:dyDescent="0.2"/>
    <row r="18" s="33" customFormat="1" ht="20" customHeight="1" x14ac:dyDescent="0.2"/>
    <row r="19" s="33" customFormat="1" ht="20" customHeight="1" x14ac:dyDescent="0.2"/>
    <row r="20" s="33" customFormat="1" ht="20" customHeight="1" x14ac:dyDescent="0.2"/>
    <row r="21" s="33" customFormat="1" ht="20" customHeight="1" x14ac:dyDescent="0.2"/>
    <row r="22" s="33" customFormat="1" ht="20" customHeight="1" x14ac:dyDescent="0.2"/>
    <row r="23" s="33" customFormat="1" ht="41" customHeight="1" x14ac:dyDescent="0.2"/>
    <row r="24" s="33" customFormat="1" ht="20" customHeight="1" x14ac:dyDescent="0.2"/>
  </sheetData>
  <mergeCells count="1">
    <mergeCell ref="A2:B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7DB66-A48C-A849-9E26-78748DF260AC}">
  <dimension ref="A2:C29"/>
  <sheetViews>
    <sheetView workbookViewId="0">
      <selection activeCell="A2" sqref="A2:C12"/>
    </sheetView>
  </sheetViews>
  <sheetFormatPr baseColWidth="10" defaultRowHeight="15" x14ac:dyDescent="0.2"/>
  <cols>
    <col min="1" max="1" width="15.1640625" bestFit="1" customWidth="1"/>
    <col min="2" max="2" width="15.1640625" customWidth="1"/>
    <col min="3" max="3" width="76" customWidth="1"/>
  </cols>
  <sheetData>
    <row r="2" spans="1:3" ht="36" customHeight="1" x14ac:dyDescent="0.2">
      <c r="A2" s="60" t="s">
        <v>128</v>
      </c>
      <c r="B2" s="60"/>
      <c r="C2" s="60"/>
    </row>
    <row r="3" spans="1:3" s="33" customFormat="1" ht="20" customHeight="1" x14ac:dyDescent="0.2">
      <c r="A3" s="51" t="s">
        <v>101</v>
      </c>
      <c r="B3" s="64" t="s">
        <v>102</v>
      </c>
      <c r="C3" s="66"/>
    </row>
    <row r="4" spans="1:3" s="33" customFormat="1" ht="20" customHeight="1" x14ac:dyDescent="0.2">
      <c r="A4" s="52" t="s">
        <v>6</v>
      </c>
      <c r="B4" s="67" t="s">
        <v>103</v>
      </c>
      <c r="C4" s="69"/>
    </row>
    <row r="5" spans="1:3" s="33" customFormat="1" ht="20" customHeight="1" x14ac:dyDescent="0.2">
      <c r="A5" s="52" t="s">
        <v>104</v>
      </c>
      <c r="B5" s="70">
        <v>46230</v>
      </c>
      <c r="C5" s="72"/>
    </row>
    <row r="6" spans="1:3" s="33" customFormat="1" ht="20" customHeight="1" x14ac:dyDescent="0.2">
      <c r="A6" s="52" t="s">
        <v>105</v>
      </c>
      <c r="B6" s="67" t="s">
        <v>115</v>
      </c>
      <c r="C6" s="69"/>
    </row>
    <row r="7" spans="1:3" s="33" customFormat="1" ht="20" customHeight="1" x14ac:dyDescent="0.2">
      <c r="A7" s="52" t="s">
        <v>106</v>
      </c>
      <c r="B7" s="67" t="s">
        <v>116</v>
      </c>
      <c r="C7" s="69"/>
    </row>
    <row r="8" spans="1:3" s="33" customFormat="1" ht="20" customHeight="1" x14ac:dyDescent="0.2">
      <c r="A8" s="52" t="s">
        <v>112</v>
      </c>
      <c r="B8" s="67">
        <v>141</v>
      </c>
      <c r="C8" s="69"/>
    </row>
    <row r="9" spans="1:3" s="33" customFormat="1" ht="20" customHeight="1" x14ac:dyDescent="0.2">
      <c r="A9" s="52" t="s">
        <v>73</v>
      </c>
      <c r="B9" s="82">
        <v>1059000</v>
      </c>
      <c r="C9" s="84"/>
    </row>
    <row r="10" spans="1:3" s="33" customFormat="1" ht="20" customHeight="1" x14ac:dyDescent="0.2">
      <c r="A10" s="52" t="s">
        <v>107</v>
      </c>
      <c r="B10" s="67" t="s">
        <v>108</v>
      </c>
      <c r="C10" s="69"/>
    </row>
    <row r="11" spans="1:3" s="33" customFormat="1" ht="41" customHeight="1" x14ac:dyDescent="0.2">
      <c r="A11" s="52" t="s">
        <v>109</v>
      </c>
      <c r="B11" s="67" t="s">
        <v>118</v>
      </c>
      <c r="C11" s="69"/>
    </row>
    <row r="12" spans="1:3" s="33" customFormat="1" ht="20" customHeight="1" x14ac:dyDescent="0.2">
      <c r="A12" s="52" t="s">
        <v>110</v>
      </c>
      <c r="B12" s="67" t="s">
        <v>111</v>
      </c>
      <c r="C12" s="69"/>
    </row>
    <row r="14" spans="1:3" ht="36" customHeight="1" x14ac:dyDescent="0.2">
      <c r="A14" s="60" t="s">
        <v>127</v>
      </c>
      <c r="B14" s="60"/>
      <c r="C14" s="60"/>
    </row>
    <row r="15" spans="1:3" s="33" customFormat="1" ht="20" customHeight="1" x14ac:dyDescent="0.2">
      <c r="A15" s="51" t="s">
        <v>101</v>
      </c>
      <c r="B15" s="64" t="s">
        <v>102</v>
      </c>
      <c r="C15" s="66"/>
    </row>
    <row r="16" spans="1:3" s="33" customFormat="1" ht="20" customHeight="1" x14ac:dyDescent="0.2">
      <c r="A16" s="52" t="s">
        <v>6</v>
      </c>
      <c r="B16" s="67" t="s">
        <v>119</v>
      </c>
      <c r="C16" s="69"/>
    </row>
    <row r="17" spans="1:3" s="33" customFormat="1" ht="20" customHeight="1" x14ac:dyDescent="0.2">
      <c r="A17" s="52" t="s">
        <v>104</v>
      </c>
      <c r="B17" s="70">
        <v>46240</v>
      </c>
      <c r="C17" s="72"/>
    </row>
    <row r="18" spans="1:3" s="33" customFormat="1" ht="20" customHeight="1" x14ac:dyDescent="0.2">
      <c r="A18" s="52" t="s">
        <v>105</v>
      </c>
      <c r="B18" s="67" t="s">
        <v>115</v>
      </c>
      <c r="C18" s="69"/>
    </row>
    <row r="19" spans="1:3" s="33" customFormat="1" ht="20" customHeight="1" x14ac:dyDescent="0.2">
      <c r="A19" s="52" t="s">
        <v>106</v>
      </c>
      <c r="B19" s="67" t="s">
        <v>121</v>
      </c>
      <c r="C19" s="69"/>
    </row>
    <row r="20" spans="1:3" s="33" customFormat="1" ht="20" customHeight="1" x14ac:dyDescent="0.2">
      <c r="A20" s="52" t="s">
        <v>112</v>
      </c>
      <c r="B20" s="67">
        <v>1431</v>
      </c>
      <c r="C20" s="69"/>
    </row>
    <row r="21" spans="1:3" s="33" customFormat="1" ht="20" customHeight="1" x14ac:dyDescent="0.2">
      <c r="A21" s="52" t="s">
        <v>73</v>
      </c>
      <c r="B21" s="82">
        <v>1059000</v>
      </c>
      <c r="C21" s="84"/>
    </row>
    <row r="22" spans="1:3" s="33" customFormat="1" ht="20" customHeight="1" x14ac:dyDescent="0.2">
      <c r="A22" s="52" t="s">
        <v>107</v>
      </c>
      <c r="B22" s="67" t="s">
        <v>38</v>
      </c>
      <c r="C22" s="69"/>
    </row>
    <row r="23" spans="1:3" s="33" customFormat="1" ht="41" customHeight="1" x14ac:dyDescent="0.2">
      <c r="A23" s="52" t="s">
        <v>109</v>
      </c>
      <c r="B23" s="67" t="s">
        <v>130</v>
      </c>
      <c r="C23" s="69"/>
    </row>
    <row r="24" spans="1:3" s="33" customFormat="1" ht="20" customHeight="1" x14ac:dyDescent="0.2">
      <c r="A24" s="52" t="s">
        <v>110</v>
      </c>
      <c r="B24" s="67" t="s">
        <v>123</v>
      </c>
      <c r="C24" s="69"/>
    </row>
    <row r="25" spans="1:3" x14ac:dyDescent="0.2">
      <c r="A25" s="94" t="s">
        <v>162</v>
      </c>
      <c r="B25" s="95"/>
      <c r="C25" s="96"/>
    </row>
    <row r="26" spans="1:3" x14ac:dyDescent="0.2">
      <c r="A26" s="89" t="s">
        <v>163</v>
      </c>
      <c r="B26" s="90" t="s">
        <v>73</v>
      </c>
      <c r="C26" s="91"/>
    </row>
    <row r="27" spans="1:3" x14ac:dyDescent="0.2">
      <c r="A27" s="75">
        <v>46965</v>
      </c>
      <c r="B27" s="40">
        <v>230509</v>
      </c>
      <c r="C27" s="92"/>
    </row>
    <row r="28" spans="1:3" x14ac:dyDescent="0.2">
      <c r="A28" s="75">
        <v>47330</v>
      </c>
      <c r="B28" s="40">
        <v>230509</v>
      </c>
      <c r="C28" s="92"/>
    </row>
    <row r="29" spans="1:3" x14ac:dyDescent="0.2">
      <c r="A29" s="75">
        <v>47695</v>
      </c>
      <c r="B29" s="40">
        <v>230509</v>
      </c>
      <c r="C29" s="92"/>
    </row>
  </sheetData>
  <mergeCells count="24">
    <mergeCell ref="B4:C4"/>
    <mergeCell ref="B24:C24"/>
    <mergeCell ref="A25:C25"/>
    <mergeCell ref="C26:C29"/>
    <mergeCell ref="B5:C5"/>
    <mergeCell ref="B3:C3"/>
    <mergeCell ref="B22:C22"/>
    <mergeCell ref="B20:C20"/>
    <mergeCell ref="B18:C18"/>
    <mergeCell ref="B16:C16"/>
    <mergeCell ref="B12:C12"/>
    <mergeCell ref="B10:C10"/>
    <mergeCell ref="B8:C8"/>
    <mergeCell ref="B6:C6"/>
    <mergeCell ref="A2:C2"/>
    <mergeCell ref="A14:C14"/>
    <mergeCell ref="B23:C23"/>
    <mergeCell ref="B21:C21"/>
    <mergeCell ref="B19:C19"/>
    <mergeCell ref="B17:C17"/>
    <mergeCell ref="B15:C15"/>
    <mergeCell ref="B11:C11"/>
    <mergeCell ref="B9:C9"/>
    <mergeCell ref="B7:C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42BAA-5F5B-0348-B8E2-5A205844A13E}">
  <dimension ref="A2:G36"/>
  <sheetViews>
    <sheetView workbookViewId="0">
      <selection activeCell="A2" sqref="A2:C36"/>
    </sheetView>
  </sheetViews>
  <sheetFormatPr baseColWidth="10" defaultRowHeight="15" x14ac:dyDescent="0.2"/>
  <cols>
    <col min="1" max="1" width="15.1640625" bestFit="1" customWidth="1"/>
    <col min="2" max="2" width="15.1640625" customWidth="1"/>
    <col min="3" max="3" width="57.5" customWidth="1"/>
    <col min="4" max="4" width="15.1640625" customWidth="1"/>
    <col min="5" max="5" width="91.5" customWidth="1"/>
  </cols>
  <sheetData>
    <row r="2" spans="1:7" ht="47" customHeight="1" x14ac:dyDescent="0.2">
      <c r="A2" s="60" t="s">
        <v>176</v>
      </c>
      <c r="B2" s="60"/>
      <c r="C2" s="60"/>
      <c r="E2" s="99"/>
      <c r="F2" s="99"/>
      <c r="G2" s="99"/>
    </row>
    <row r="3" spans="1:7" s="33" customFormat="1" ht="20" customHeight="1" x14ac:dyDescent="0.2">
      <c r="A3" s="51" t="s">
        <v>101</v>
      </c>
      <c r="B3" s="64" t="s">
        <v>102</v>
      </c>
      <c r="C3" s="66"/>
    </row>
    <row r="4" spans="1:7" s="33" customFormat="1" ht="20" customHeight="1" x14ac:dyDescent="0.2">
      <c r="A4" s="52" t="s">
        <v>6</v>
      </c>
      <c r="B4" s="67" t="s">
        <v>103</v>
      </c>
      <c r="C4" s="69"/>
    </row>
    <row r="5" spans="1:7" s="33" customFormat="1" ht="20" customHeight="1" x14ac:dyDescent="0.2">
      <c r="A5" s="52" t="s">
        <v>104</v>
      </c>
      <c r="B5" s="70" t="s">
        <v>170</v>
      </c>
      <c r="C5" s="72"/>
    </row>
    <row r="6" spans="1:7" s="33" customFormat="1" ht="20" customHeight="1" x14ac:dyDescent="0.2">
      <c r="A6" s="52" t="s">
        <v>105</v>
      </c>
      <c r="B6" s="67" t="s">
        <v>124</v>
      </c>
      <c r="C6" s="69"/>
    </row>
    <row r="7" spans="1:7" s="33" customFormat="1" ht="20" customHeight="1" x14ac:dyDescent="0.2">
      <c r="A7" s="52" t="s">
        <v>106</v>
      </c>
      <c r="B7" s="67" t="s">
        <v>116</v>
      </c>
      <c r="C7" s="69"/>
    </row>
    <row r="8" spans="1:7" s="33" customFormat="1" ht="20" customHeight="1" x14ac:dyDescent="0.2">
      <c r="A8" s="52" t="s">
        <v>112</v>
      </c>
      <c r="B8" s="67">
        <v>141</v>
      </c>
      <c r="C8" s="69"/>
    </row>
    <row r="9" spans="1:7" s="33" customFormat="1" ht="20" customHeight="1" x14ac:dyDescent="0.2">
      <c r="A9" s="52" t="s">
        <v>73</v>
      </c>
      <c r="B9" s="82" t="s">
        <v>171</v>
      </c>
      <c r="C9" s="84"/>
    </row>
    <row r="10" spans="1:7" s="33" customFormat="1" ht="20" customHeight="1" x14ac:dyDescent="0.2">
      <c r="A10" s="52" t="s">
        <v>107</v>
      </c>
      <c r="B10" s="67" t="s">
        <v>108</v>
      </c>
      <c r="C10" s="69"/>
    </row>
    <row r="11" spans="1:7" s="33" customFormat="1" ht="36" customHeight="1" x14ac:dyDescent="0.2">
      <c r="A11" s="52" t="s">
        <v>109</v>
      </c>
      <c r="B11" s="67" t="s">
        <v>172</v>
      </c>
      <c r="C11" s="69"/>
    </row>
    <row r="12" spans="1:7" s="33" customFormat="1" ht="36" customHeight="1" x14ac:dyDescent="0.2">
      <c r="A12" s="52" t="s">
        <v>110</v>
      </c>
      <c r="B12" s="67" t="s">
        <v>173</v>
      </c>
      <c r="C12" s="69"/>
    </row>
    <row r="13" spans="1:7" s="33" customFormat="1" ht="33" customHeight="1" x14ac:dyDescent="0.2">
      <c r="A13" s="52" t="s">
        <v>144</v>
      </c>
      <c r="B13" s="78" t="s">
        <v>174</v>
      </c>
      <c r="C13" s="78"/>
    </row>
    <row r="14" spans="1:7" s="33" customFormat="1" ht="35" customHeight="1" x14ac:dyDescent="0.2">
      <c r="A14" s="98" t="s">
        <v>175</v>
      </c>
      <c r="B14" s="98"/>
      <c r="C14" s="105"/>
    </row>
    <row r="15" spans="1:7" x14ac:dyDescent="0.2">
      <c r="A15" s="73" t="s">
        <v>142</v>
      </c>
      <c r="B15" s="57" t="s">
        <v>73</v>
      </c>
      <c r="C15" s="106"/>
    </row>
    <row r="16" spans="1:7" s="44" customFormat="1" ht="21" customHeight="1" x14ac:dyDescent="0.2">
      <c r="A16" s="81">
        <v>46295</v>
      </c>
      <c r="B16" s="79">
        <f>'Escrow e IT Serviços'!C18</f>
        <v>272521.32676999999</v>
      </c>
      <c r="C16" s="106"/>
    </row>
    <row r="17" spans="1:3" s="44" customFormat="1" ht="20" customHeight="1" x14ac:dyDescent="0.2">
      <c r="A17" s="81">
        <v>46326</v>
      </c>
      <c r="B17" s="79">
        <f>'Escrow e IT Serviços'!D18</f>
        <v>300764.26725999994</v>
      </c>
      <c r="C17" s="106"/>
    </row>
    <row r="18" spans="1:3" s="44" customFormat="1" ht="20" customHeight="1" x14ac:dyDescent="0.2">
      <c r="A18" s="81">
        <v>46356</v>
      </c>
      <c r="B18" s="79">
        <f>'Escrow e IT Serviços'!E18</f>
        <v>272521.32676999999</v>
      </c>
      <c r="C18" s="106"/>
    </row>
    <row r="19" spans="1:3" s="44" customFormat="1" ht="20" customHeight="1" x14ac:dyDescent="0.2">
      <c r="A19" s="81">
        <v>46387</v>
      </c>
      <c r="B19" s="79">
        <f>'Escrow e IT Serviços'!F18</f>
        <v>190659.92782999997</v>
      </c>
      <c r="C19" s="106"/>
    </row>
    <row r="20" spans="1:3" s="44" customFormat="1" ht="20" customHeight="1" x14ac:dyDescent="0.2">
      <c r="A20" s="81">
        <v>46418</v>
      </c>
      <c r="B20" s="79">
        <f>'Escrow e IT Serviços'!G18</f>
        <v>162425.63583999997</v>
      </c>
      <c r="C20" s="106"/>
    </row>
    <row r="21" spans="1:3" s="44" customFormat="1" ht="20" customHeight="1" x14ac:dyDescent="0.2">
      <c r="A21" s="81">
        <v>46446</v>
      </c>
      <c r="B21" s="79">
        <f>'Escrow e IT Serviços'!H18</f>
        <v>189847.46656</v>
      </c>
      <c r="C21" s="106"/>
    </row>
    <row r="22" spans="1:3" s="44" customFormat="1" ht="20" customHeight="1" x14ac:dyDescent="0.2">
      <c r="A22" s="81">
        <v>46477</v>
      </c>
      <c r="B22" s="79">
        <f>'Escrow e IT Serviços'!I18</f>
        <v>156602.22308</v>
      </c>
      <c r="C22" s="106"/>
    </row>
    <row r="23" spans="1:3" s="44" customFormat="1" ht="20" customHeight="1" x14ac:dyDescent="0.2">
      <c r="A23" s="81">
        <v>46507</v>
      </c>
      <c r="B23" s="79">
        <f>'Escrow e IT Serviços'!J18</f>
        <v>184277.09125999999</v>
      </c>
      <c r="C23" s="106"/>
    </row>
    <row r="24" spans="1:3" s="44" customFormat="1" ht="20" customHeight="1" x14ac:dyDescent="0.2">
      <c r="A24" s="81">
        <v>46538</v>
      </c>
      <c r="B24" s="79">
        <f>'Escrow e IT Serviços'!K18</f>
        <v>72183.099100000007</v>
      </c>
      <c r="C24" s="106"/>
    </row>
    <row r="25" spans="1:3" s="44" customFormat="1" ht="21" customHeight="1" x14ac:dyDescent="0.2">
      <c r="A25" s="81">
        <v>46568</v>
      </c>
      <c r="B25" s="79">
        <f>'Escrow e IT Serviços'!L18</f>
        <v>72186.03959</v>
      </c>
      <c r="C25" s="106"/>
    </row>
    <row r="26" spans="1:3" s="44" customFormat="1" ht="20" customHeight="1" x14ac:dyDescent="0.2">
      <c r="A26" s="81">
        <v>46599</v>
      </c>
      <c r="B26" s="79">
        <f>'Escrow e IT Serviços'!M18</f>
        <v>72183.099100000007</v>
      </c>
      <c r="C26" s="106"/>
    </row>
    <row r="27" spans="1:3" s="44" customFormat="1" x14ac:dyDescent="0.2">
      <c r="A27" s="81">
        <v>46630</v>
      </c>
      <c r="B27" s="79">
        <f>'Escrow e IT Serviços'!N18</f>
        <v>72186.03959</v>
      </c>
      <c r="C27" s="106"/>
    </row>
    <row r="28" spans="1:3" x14ac:dyDescent="0.2">
      <c r="A28" s="81">
        <v>46660</v>
      </c>
      <c r="B28" s="79">
        <f>'Escrow e IT Serviços'!O18</f>
        <v>71236.091879999993</v>
      </c>
      <c r="C28" s="106"/>
    </row>
    <row r="29" spans="1:3" x14ac:dyDescent="0.2">
      <c r="A29" s="81">
        <v>46691</v>
      </c>
      <c r="B29" s="79">
        <f>'Escrow e IT Serviços'!P18</f>
        <v>71239.046489999993</v>
      </c>
      <c r="C29" s="106"/>
    </row>
    <row r="30" spans="1:3" x14ac:dyDescent="0.2">
      <c r="A30" s="81">
        <v>46721</v>
      </c>
      <c r="B30" s="79">
        <f>'Escrow e IT Serviços'!Q18</f>
        <v>30055.687269999999</v>
      </c>
      <c r="C30" s="106"/>
    </row>
    <row r="31" spans="1:3" x14ac:dyDescent="0.2">
      <c r="A31" s="81">
        <v>46752</v>
      </c>
      <c r="B31" s="79">
        <f>'Escrow e IT Serviços'!R18</f>
        <v>30055.687269999999</v>
      </c>
      <c r="C31" s="106"/>
    </row>
    <row r="32" spans="1:3" x14ac:dyDescent="0.2">
      <c r="A32" s="81">
        <v>46783</v>
      </c>
      <c r="B32" s="79">
        <f>'Escrow e IT Serviços'!S18</f>
        <v>29182.326440000001</v>
      </c>
      <c r="C32" s="106"/>
    </row>
    <row r="33" spans="1:3" x14ac:dyDescent="0.2">
      <c r="A33" s="81">
        <v>46812</v>
      </c>
      <c r="B33" s="79">
        <f>'Escrow e IT Serviços'!T18</f>
        <v>28346.496569999999</v>
      </c>
      <c r="C33" s="106"/>
    </row>
    <row r="34" spans="1:3" x14ac:dyDescent="0.2">
      <c r="A34" s="81">
        <v>46843</v>
      </c>
      <c r="B34" s="79">
        <f>'Escrow e IT Serviços'!U18</f>
        <v>28346.496569999999</v>
      </c>
      <c r="C34" s="106"/>
    </row>
    <row r="35" spans="1:3" x14ac:dyDescent="0.2">
      <c r="A35" s="81">
        <v>46873</v>
      </c>
      <c r="B35" s="79">
        <f>'Escrow e IT Serviços'!V18</f>
        <v>28346.496569999999</v>
      </c>
      <c r="C35" s="106"/>
    </row>
    <row r="36" spans="1:3" x14ac:dyDescent="0.2">
      <c r="A36" s="39" t="s">
        <v>74</v>
      </c>
      <c r="B36" s="97">
        <f>SUM(B16:B35)</f>
        <v>2335165.8718099995</v>
      </c>
      <c r="C36" s="106"/>
    </row>
  </sheetData>
  <mergeCells count="14">
    <mergeCell ref="A14:B14"/>
    <mergeCell ref="C14:C36"/>
    <mergeCell ref="B8:C8"/>
    <mergeCell ref="B9:C9"/>
    <mergeCell ref="B10:C10"/>
    <mergeCell ref="B11:C11"/>
    <mergeCell ref="B12:C12"/>
    <mergeCell ref="B13:C13"/>
    <mergeCell ref="A2:C2"/>
    <mergeCell ref="B3:C3"/>
    <mergeCell ref="B4:C4"/>
    <mergeCell ref="B5:C5"/>
    <mergeCell ref="B6:C6"/>
    <mergeCell ref="B7:C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01DFA-CA6F-9747-B7B3-00C050365193}">
  <dimension ref="A1:B11"/>
  <sheetViews>
    <sheetView workbookViewId="0">
      <selection sqref="A1:B11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1" spans="1:2" x14ac:dyDescent="0.2">
      <c r="A1" s="58" t="s">
        <v>129</v>
      </c>
      <c r="B1" s="59"/>
    </row>
    <row r="2" spans="1:2" s="33" customFormat="1" ht="20" customHeight="1" x14ac:dyDescent="0.2">
      <c r="A2" s="51" t="s">
        <v>101</v>
      </c>
      <c r="B2" s="53" t="s">
        <v>102</v>
      </c>
    </row>
    <row r="3" spans="1:2" s="33" customFormat="1" ht="20" customHeight="1" x14ac:dyDescent="0.2">
      <c r="A3" s="52" t="s">
        <v>6</v>
      </c>
      <c r="B3" s="56" t="s">
        <v>103</v>
      </c>
    </row>
    <row r="4" spans="1:2" s="33" customFormat="1" ht="20" customHeight="1" x14ac:dyDescent="0.2">
      <c r="A4" s="52" t="s">
        <v>104</v>
      </c>
      <c r="B4" s="54">
        <v>46230</v>
      </c>
    </row>
    <row r="5" spans="1:2" s="33" customFormat="1" ht="20" customHeight="1" x14ac:dyDescent="0.2">
      <c r="A5" s="52" t="s">
        <v>105</v>
      </c>
      <c r="B5" s="56" t="s">
        <v>124</v>
      </c>
    </row>
    <row r="6" spans="1:2" s="33" customFormat="1" ht="20" customHeight="1" x14ac:dyDescent="0.2">
      <c r="A6" s="52" t="s">
        <v>106</v>
      </c>
      <c r="B6" s="56" t="s">
        <v>116</v>
      </c>
    </row>
    <row r="7" spans="1:2" s="33" customFormat="1" ht="20" customHeight="1" x14ac:dyDescent="0.2">
      <c r="A7" s="52" t="s">
        <v>112</v>
      </c>
      <c r="B7" s="56">
        <v>141</v>
      </c>
    </row>
    <row r="8" spans="1:2" s="33" customFormat="1" ht="20" customHeight="1" x14ac:dyDescent="0.2">
      <c r="A8" s="52" t="s">
        <v>73</v>
      </c>
      <c r="B8" s="55">
        <v>4562745.8</v>
      </c>
    </row>
    <row r="9" spans="1:2" s="33" customFormat="1" ht="20" customHeight="1" x14ac:dyDescent="0.2">
      <c r="A9" s="52" t="s">
        <v>107</v>
      </c>
      <c r="B9" s="56" t="s">
        <v>108</v>
      </c>
    </row>
    <row r="10" spans="1:2" s="33" customFormat="1" ht="41" customHeight="1" x14ac:dyDescent="0.2">
      <c r="A10" s="52" t="s">
        <v>109</v>
      </c>
      <c r="B10" s="56" t="s">
        <v>126</v>
      </c>
    </row>
    <row r="11" spans="1:2" s="33" customFormat="1" ht="20" customHeight="1" x14ac:dyDescent="0.2">
      <c r="A11" s="52" t="s">
        <v>110</v>
      </c>
      <c r="B11" s="56" t="s">
        <v>111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EEE07-E1C1-944D-850C-E5FDC004171F}">
  <dimension ref="A2:C36"/>
  <sheetViews>
    <sheetView topLeftCell="A25" workbookViewId="0">
      <selection activeCell="A2" sqref="A2:C36"/>
    </sheetView>
  </sheetViews>
  <sheetFormatPr baseColWidth="10" defaultRowHeight="15" x14ac:dyDescent="0.2"/>
  <cols>
    <col min="1" max="1" width="15.1640625" bestFit="1" customWidth="1"/>
    <col min="2" max="2" width="15.1640625" customWidth="1"/>
    <col min="3" max="3" width="57.5" customWidth="1"/>
    <col min="4" max="4" width="15.1640625" customWidth="1"/>
  </cols>
  <sheetData>
    <row r="2" spans="1:3" ht="36" customHeight="1" x14ac:dyDescent="0.2">
      <c r="A2" s="60" t="s">
        <v>164</v>
      </c>
      <c r="B2" s="60"/>
      <c r="C2" s="60"/>
    </row>
    <row r="3" spans="1:3" s="33" customFormat="1" ht="20" customHeight="1" x14ac:dyDescent="0.2">
      <c r="A3" s="51" t="s">
        <v>101</v>
      </c>
      <c r="B3" s="64" t="s">
        <v>102</v>
      </c>
      <c r="C3" s="66"/>
    </row>
    <row r="4" spans="1:3" s="33" customFormat="1" ht="20" customHeight="1" x14ac:dyDescent="0.2">
      <c r="A4" s="52" t="s">
        <v>6</v>
      </c>
      <c r="B4" s="67" t="s">
        <v>103</v>
      </c>
      <c r="C4" s="69"/>
    </row>
    <row r="5" spans="1:3" s="33" customFormat="1" ht="20" customHeight="1" x14ac:dyDescent="0.2">
      <c r="A5" s="52" t="s">
        <v>104</v>
      </c>
      <c r="B5" s="70" t="s">
        <v>169</v>
      </c>
      <c r="C5" s="72"/>
    </row>
    <row r="6" spans="1:3" s="33" customFormat="1" ht="20" customHeight="1" x14ac:dyDescent="0.2">
      <c r="A6" s="52" t="s">
        <v>105</v>
      </c>
      <c r="B6" s="67" t="s">
        <v>165</v>
      </c>
      <c r="C6" s="69"/>
    </row>
    <row r="7" spans="1:3" s="33" customFormat="1" ht="20" customHeight="1" x14ac:dyDescent="0.2">
      <c r="A7" s="52" t="s">
        <v>106</v>
      </c>
      <c r="B7" s="67" t="s">
        <v>116</v>
      </c>
      <c r="C7" s="69"/>
    </row>
    <row r="8" spans="1:3" s="33" customFormat="1" ht="20" customHeight="1" x14ac:dyDescent="0.2">
      <c r="A8" s="52" t="s">
        <v>112</v>
      </c>
      <c r="B8" s="67">
        <v>141</v>
      </c>
      <c r="C8" s="69"/>
    </row>
    <row r="9" spans="1:3" s="33" customFormat="1" ht="20" customHeight="1" x14ac:dyDescent="0.2">
      <c r="A9" s="52" t="s">
        <v>73</v>
      </c>
      <c r="B9" s="82" t="s">
        <v>152</v>
      </c>
      <c r="C9" s="84"/>
    </row>
    <row r="10" spans="1:3" s="33" customFormat="1" ht="20" customHeight="1" x14ac:dyDescent="0.2">
      <c r="A10" s="52" t="s">
        <v>107</v>
      </c>
      <c r="B10" s="67" t="s">
        <v>108</v>
      </c>
      <c r="C10" s="69"/>
    </row>
    <row r="11" spans="1:3" s="33" customFormat="1" ht="36" customHeight="1" x14ac:dyDescent="0.2">
      <c r="A11" s="52" t="s">
        <v>109</v>
      </c>
      <c r="B11" s="67" t="s">
        <v>166</v>
      </c>
      <c r="C11" s="69"/>
    </row>
    <row r="12" spans="1:3" s="33" customFormat="1" ht="36" customHeight="1" x14ac:dyDescent="0.2">
      <c r="A12" s="52" t="s">
        <v>110</v>
      </c>
      <c r="B12" s="67" t="s">
        <v>167</v>
      </c>
      <c r="C12" s="69"/>
    </row>
    <row r="13" spans="1:3" s="33" customFormat="1" ht="33" customHeight="1" x14ac:dyDescent="0.2">
      <c r="A13" s="52" t="s">
        <v>144</v>
      </c>
      <c r="B13" s="78" t="s">
        <v>168</v>
      </c>
      <c r="C13" s="78"/>
    </row>
    <row r="14" spans="1:3" s="33" customFormat="1" ht="42" customHeight="1" x14ac:dyDescent="0.2">
      <c r="A14" s="98" t="s">
        <v>182</v>
      </c>
      <c r="B14" s="98"/>
      <c r="C14" s="61"/>
    </row>
    <row r="15" spans="1:3" x14ac:dyDescent="0.2">
      <c r="A15" s="73" t="s">
        <v>142</v>
      </c>
      <c r="B15" s="57" t="s">
        <v>73</v>
      </c>
      <c r="C15" s="62"/>
    </row>
    <row r="16" spans="1:3" s="44" customFormat="1" ht="21" customHeight="1" x14ac:dyDescent="0.2">
      <c r="A16" s="81">
        <v>46295</v>
      </c>
      <c r="B16" s="79">
        <f>'Escrow e IT Serviços'!C17</f>
        <v>499493.76322999998</v>
      </c>
      <c r="C16" s="80"/>
    </row>
    <row r="17" spans="1:3" s="44" customFormat="1" ht="20" customHeight="1" x14ac:dyDescent="0.2">
      <c r="A17" s="81">
        <v>46326</v>
      </c>
      <c r="B17" s="79">
        <f>'Escrow e IT Serviços'!D17</f>
        <v>551259.15273999993</v>
      </c>
      <c r="C17" s="80"/>
    </row>
    <row r="18" spans="1:3" s="44" customFormat="1" ht="20" customHeight="1" x14ac:dyDescent="0.2">
      <c r="A18" s="81">
        <v>46356</v>
      </c>
      <c r="B18" s="79">
        <f>'Escrow e IT Serviços'!E17</f>
        <v>499493.76322999998</v>
      </c>
      <c r="C18" s="80"/>
    </row>
    <row r="19" spans="1:3" s="44" customFormat="1" ht="20" customHeight="1" x14ac:dyDescent="0.2">
      <c r="A19" s="81">
        <v>46387</v>
      </c>
      <c r="B19" s="79">
        <f>'Escrow e IT Serviços'!F17</f>
        <v>349453.18216999999</v>
      </c>
      <c r="C19" s="80"/>
    </row>
    <row r="20" spans="1:3" s="44" customFormat="1" ht="20" customHeight="1" x14ac:dyDescent="0.2">
      <c r="A20" s="81">
        <v>46418</v>
      </c>
      <c r="B20" s="79">
        <f>'Escrow e IT Serviços'!G17</f>
        <v>297703.64415999997</v>
      </c>
      <c r="C20" s="80"/>
    </row>
    <row r="21" spans="1:3" s="44" customFormat="1" ht="20" customHeight="1" x14ac:dyDescent="0.2">
      <c r="A21" s="81">
        <v>46446</v>
      </c>
      <c r="B21" s="79">
        <f>'Escrow e IT Serviços'!H17</f>
        <v>347964.05344000005</v>
      </c>
      <c r="C21" s="80"/>
    </row>
    <row r="22" spans="1:3" s="44" customFormat="1" ht="20" customHeight="1" x14ac:dyDescent="0.2">
      <c r="A22" s="81">
        <v>46477</v>
      </c>
      <c r="B22" s="79">
        <f>'Escrow e IT Serviços'!I17</f>
        <v>287030.13692000002</v>
      </c>
      <c r="C22" s="80"/>
    </row>
    <row r="23" spans="1:3" s="44" customFormat="1" ht="20" customHeight="1" x14ac:dyDescent="0.2">
      <c r="A23" s="81">
        <v>46507</v>
      </c>
      <c r="B23" s="79">
        <f>'Escrow e IT Serviços'!J17</f>
        <v>337754.32874000003</v>
      </c>
      <c r="C23" s="80"/>
    </row>
    <row r="24" spans="1:3" s="44" customFormat="1" ht="20" customHeight="1" x14ac:dyDescent="0.2">
      <c r="A24" s="81">
        <v>46538</v>
      </c>
      <c r="B24" s="79">
        <f>'Escrow e IT Serviços'!K17</f>
        <v>132301.60090000002</v>
      </c>
      <c r="C24" s="80"/>
    </row>
    <row r="25" spans="1:3" s="44" customFormat="1" ht="21" customHeight="1" x14ac:dyDescent="0.2">
      <c r="A25" s="81">
        <v>46568</v>
      </c>
      <c r="B25" s="79">
        <f>'Escrow e IT Serviços'!L17</f>
        <v>132306.99041</v>
      </c>
      <c r="C25" s="80"/>
    </row>
    <row r="26" spans="1:3" s="44" customFormat="1" ht="20" customHeight="1" x14ac:dyDescent="0.2">
      <c r="A26" s="81">
        <v>46599</v>
      </c>
      <c r="B26" s="79">
        <f>'Escrow e IT Serviços'!M17</f>
        <v>132301.60090000002</v>
      </c>
      <c r="C26" s="80"/>
    </row>
    <row r="27" spans="1:3" s="44" customFormat="1" x14ac:dyDescent="0.2">
      <c r="A27" s="81">
        <v>46630</v>
      </c>
      <c r="B27" s="79">
        <f>'Escrow e IT Serviços'!N17</f>
        <v>132306.99041</v>
      </c>
      <c r="C27" s="80"/>
    </row>
    <row r="28" spans="1:3" x14ac:dyDescent="0.2">
      <c r="A28" s="81">
        <v>46660</v>
      </c>
      <c r="B28" s="79">
        <f>'Escrow e IT Serviços'!O17</f>
        <v>130565.86812</v>
      </c>
    </row>
    <row r="29" spans="1:3" x14ac:dyDescent="0.2">
      <c r="A29" s="81">
        <v>46691</v>
      </c>
      <c r="B29" s="79">
        <f>'Escrow e IT Serviços'!P17</f>
        <v>130571.28350999999</v>
      </c>
    </row>
    <row r="30" spans="1:3" x14ac:dyDescent="0.2">
      <c r="A30" s="81">
        <v>46721</v>
      </c>
      <c r="B30" s="79">
        <f>'Escrow e IT Serviços'!Q17</f>
        <v>55087.902730000002</v>
      </c>
    </row>
    <row r="31" spans="1:3" x14ac:dyDescent="0.2">
      <c r="A31" s="81">
        <v>46752</v>
      </c>
      <c r="B31" s="79">
        <f>'Escrow e IT Serviços'!R17</f>
        <v>55087.902730000002</v>
      </c>
    </row>
    <row r="32" spans="1:3" x14ac:dyDescent="0.2">
      <c r="A32" s="81">
        <v>46783</v>
      </c>
      <c r="B32" s="79">
        <f>'Escrow e IT Serviços'!S17</f>
        <v>53487.153560000006</v>
      </c>
    </row>
    <row r="33" spans="1:2" x14ac:dyDescent="0.2">
      <c r="A33" s="81">
        <v>46812</v>
      </c>
      <c r="B33" s="79">
        <f>'Escrow e IT Serviços'!T17</f>
        <v>51955.193430000007</v>
      </c>
    </row>
    <row r="34" spans="1:2" x14ac:dyDescent="0.2">
      <c r="A34" s="81">
        <v>46843</v>
      </c>
      <c r="B34" s="79">
        <f>'Escrow e IT Serviços'!U17</f>
        <v>51955.193430000007</v>
      </c>
    </row>
    <row r="35" spans="1:2" x14ac:dyDescent="0.2">
      <c r="A35" s="81">
        <v>46873</v>
      </c>
      <c r="B35" s="79">
        <f>'Escrow e IT Serviços'!V17</f>
        <v>51955.193430000007</v>
      </c>
    </row>
    <row r="36" spans="1:2" x14ac:dyDescent="0.2">
      <c r="A36" s="39" t="s">
        <v>74</v>
      </c>
      <c r="B36" s="97">
        <f>SUM(B16:B35)</f>
        <v>4280034.8981900001</v>
      </c>
    </row>
  </sheetData>
  <mergeCells count="13">
    <mergeCell ref="A14:B14"/>
    <mergeCell ref="B8:C8"/>
    <mergeCell ref="B9:C9"/>
    <mergeCell ref="B10:C10"/>
    <mergeCell ref="B11:C11"/>
    <mergeCell ref="B12:C12"/>
    <mergeCell ref="B13:C13"/>
    <mergeCell ref="A2:C2"/>
    <mergeCell ref="B3:C3"/>
    <mergeCell ref="B4:C4"/>
    <mergeCell ref="B5:C5"/>
    <mergeCell ref="B6:C6"/>
    <mergeCell ref="B7:C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E3ADB-306E-094D-B889-19B5630806C9}">
  <dimension ref="A2:C29"/>
  <sheetViews>
    <sheetView topLeftCell="A19" workbookViewId="0">
      <selection activeCell="A14" sqref="A14:C29"/>
    </sheetView>
  </sheetViews>
  <sheetFormatPr baseColWidth="10" defaultRowHeight="15" x14ac:dyDescent="0.2"/>
  <cols>
    <col min="1" max="1" width="15.6640625" customWidth="1"/>
    <col min="2" max="2" width="15.1640625" customWidth="1"/>
    <col min="3" max="3" width="61.33203125" customWidth="1"/>
  </cols>
  <sheetData>
    <row r="2" spans="1:3" ht="36" customHeight="1" x14ac:dyDescent="0.2">
      <c r="A2" s="60" t="s">
        <v>117</v>
      </c>
      <c r="B2" s="60"/>
      <c r="C2" s="60"/>
    </row>
    <row r="3" spans="1:3" s="33" customFormat="1" ht="20" customHeight="1" x14ac:dyDescent="0.2">
      <c r="A3" s="51" t="s">
        <v>101</v>
      </c>
      <c r="B3" s="64" t="s">
        <v>102</v>
      </c>
      <c r="C3" s="66"/>
    </row>
    <row r="4" spans="1:3" s="33" customFormat="1" ht="20" customHeight="1" x14ac:dyDescent="0.2">
      <c r="A4" s="52" t="s">
        <v>6</v>
      </c>
      <c r="B4" s="67" t="s">
        <v>103</v>
      </c>
      <c r="C4" s="69"/>
    </row>
    <row r="5" spans="1:3" s="33" customFormat="1" ht="20" customHeight="1" x14ac:dyDescent="0.2">
      <c r="A5" s="52" t="s">
        <v>104</v>
      </c>
      <c r="B5" s="70">
        <v>46230</v>
      </c>
      <c r="C5" s="72"/>
    </row>
    <row r="6" spans="1:3" s="33" customFormat="1" ht="20" customHeight="1" x14ac:dyDescent="0.2">
      <c r="A6" s="52" t="s">
        <v>105</v>
      </c>
      <c r="B6" s="67" t="s">
        <v>115</v>
      </c>
      <c r="C6" s="69"/>
    </row>
    <row r="7" spans="1:3" s="33" customFormat="1" ht="20" customHeight="1" x14ac:dyDescent="0.2">
      <c r="A7" s="52" t="s">
        <v>106</v>
      </c>
      <c r="B7" s="67" t="s">
        <v>116</v>
      </c>
      <c r="C7" s="69"/>
    </row>
    <row r="8" spans="1:3" s="33" customFormat="1" ht="20" customHeight="1" x14ac:dyDescent="0.2">
      <c r="A8" s="52" t="s">
        <v>112</v>
      </c>
      <c r="B8" s="67">
        <v>141</v>
      </c>
      <c r="C8" s="69"/>
    </row>
    <row r="9" spans="1:3" s="33" customFormat="1" ht="20" customHeight="1" x14ac:dyDescent="0.2">
      <c r="A9" s="52" t="s">
        <v>73</v>
      </c>
      <c r="B9" s="82">
        <v>1941000</v>
      </c>
      <c r="C9" s="84"/>
    </row>
    <row r="10" spans="1:3" s="33" customFormat="1" ht="20" customHeight="1" x14ac:dyDescent="0.2">
      <c r="A10" s="52" t="s">
        <v>107</v>
      </c>
      <c r="B10" s="67" t="s">
        <v>108</v>
      </c>
      <c r="C10" s="69"/>
    </row>
    <row r="11" spans="1:3" s="33" customFormat="1" ht="41" customHeight="1" x14ac:dyDescent="0.2">
      <c r="A11" s="52" t="s">
        <v>109</v>
      </c>
      <c r="B11" s="67" t="s">
        <v>118</v>
      </c>
      <c r="C11" s="69"/>
    </row>
    <row r="12" spans="1:3" s="33" customFormat="1" ht="20" customHeight="1" x14ac:dyDescent="0.2">
      <c r="A12" s="52" t="s">
        <v>110</v>
      </c>
      <c r="B12" s="67" t="s">
        <v>111</v>
      </c>
      <c r="C12" s="69"/>
    </row>
    <row r="14" spans="1:3" ht="36" customHeight="1" x14ac:dyDescent="0.2">
      <c r="A14" s="60" t="s">
        <v>120</v>
      </c>
      <c r="B14" s="60"/>
      <c r="C14" s="60"/>
    </row>
    <row r="15" spans="1:3" s="33" customFormat="1" ht="20" customHeight="1" x14ac:dyDescent="0.2">
      <c r="A15" s="51" t="s">
        <v>101</v>
      </c>
      <c r="B15" s="64" t="s">
        <v>102</v>
      </c>
      <c r="C15" s="66"/>
    </row>
    <row r="16" spans="1:3" s="33" customFormat="1" ht="20" customHeight="1" x14ac:dyDescent="0.2">
      <c r="A16" s="52" t="s">
        <v>6</v>
      </c>
      <c r="B16" s="67" t="s">
        <v>119</v>
      </c>
      <c r="C16" s="69"/>
    </row>
    <row r="17" spans="1:3" s="33" customFormat="1" ht="20" customHeight="1" x14ac:dyDescent="0.2">
      <c r="A17" s="52" t="s">
        <v>104</v>
      </c>
      <c r="B17" s="70">
        <v>46240</v>
      </c>
      <c r="C17" s="72"/>
    </row>
    <row r="18" spans="1:3" s="33" customFormat="1" ht="20" customHeight="1" x14ac:dyDescent="0.2">
      <c r="A18" s="52" t="s">
        <v>105</v>
      </c>
      <c r="B18" s="67" t="s">
        <v>115</v>
      </c>
      <c r="C18" s="69"/>
    </row>
    <row r="19" spans="1:3" s="33" customFormat="1" ht="20" customHeight="1" x14ac:dyDescent="0.2">
      <c r="A19" s="52" t="s">
        <v>106</v>
      </c>
      <c r="B19" s="67" t="s">
        <v>121</v>
      </c>
      <c r="C19" s="69"/>
    </row>
    <row r="20" spans="1:3" s="33" customFormat="1" ht="20" customHeight="1" x14ac:dyDescent="0.2">
      <c r="A20" s="52" t="s">
        <v>112</v>
      </c>
      <c r="B20" s="67">
        <v>1431</v>
      </c>
      <c r="C20" s="69"/>
    </row>
    <row r="21" spans="1:3" s="33" customFormat="1" ht="20" customHeight="1" x14ac:dyDescent="0.2">
      <c r="A21" s="52" t="s">
        <v>73</v>
      </c>
      <c r="B21" s="82">
        <v>1941000</v>
      </c>
      <c r="C21" s="84"/>
    </row>
    <row r="22" spans="1:3" s="33" customFormat="1" ht="20" customHeight="1" x14ac:dyDescent="0.2">
      <c r="A22" s="52" t="s">
        <v>107</v>
      </c>
      <c r="B22" s="67" t="s">
        <v>38</v>
      </c>
      <c r="C22" s="69"/>
    </row>
    <row r="23" spans="1:3" s="33" customFormat="1" ht="41" customHeight="1" x14ac:dyDescent="0.2">
      <c r="A23" s="52" t="s">
        <v>109</v>
      </c>
      <c r="B23" s="67" t="s">
        <v>122</v>
      </c>
      <c r="C23" s="69"/>
    </row>
    <row r="24" spans="1:3" s="33" customFormat="1" ht="20" customHeight="1" x14ac:dyDescent="0.2">
      <c r="A24" s="52" t="s">
        <v>110</v>
      </c>
      <c r="B24" s="67" t="s">
        <v>123</v>
      </c>
      <c r="C24" s="69"/>
    </row>
    <row r="25" spans="1:3" x14ac:dyDescent="0.2">
      <c r="A25" s="94" t="s">
        <v>162</v>
      </c>
      <c r="B25" s="95"/>
      <c r="C25" s="96"/>
    </row>
    <row r="26" spans="1:3" x14ac:dyDescent="0.2">
      <c r="A26" s="89" t="s">
        <v>163</v>
      </c>
      <c r="B26" s="90" t="s">
        <v>73</v>
      </c>
      <c r="C26" s="91"/>
    </row>
    <row r="27" spans="1:3" x14ac:dyDescent="0.2">
      <c r="A27" s="75">
        <v>46965</v>
      </c>
      <c r="B27" s="40">
        <v>422491</v>
      </c>
      <c r="C27" s="92"/>
    </row>
    <row r="28" spans="1:3" x14ac:dyDescent="0.2">
      <c r="A28" s="75">
        <v>47330</v>
      </c>
      <c r="B28" s="40">
        <v>422491</v>
      </c>
      <c r="C28" s="92"/>
    </row>
    <row r="29" spans="1:3" x14ac:dyDescent="0.2">
      <c r="A29" s="75">
        <v>47695</v>
      </c>
      <c r="B29" s="40">
        <v>422491</v>
      </c>
      <c r="C29" s="92"/>
    </row>
  </sheetData>
  <mergeCells count="24">
    <mergeCell ref="B3:C3"/>
    <mergeCell ref="A25:C25"/>
    <mergeCell ref="B12:C12"/>
    <mergeCell ref="B17:C17"/>
    <mergeCell ref="B19:C19"/>
    <mergeCell ref="B21:C21"/>
    <mergeCell ref="B23:C23"/>
    <mergeCell ref="B15:C15"/>
    <mergeCell ref="B8:C8"/>
    <mergeCell ref="B6:C6"/>
    <mergeCell ref="B4:C4"/>
    <mergeCell ref="B5:C5"/>
    <mergeCell ref="B7:C7"/>
    <mergeCell ref="B9:C9"/>
    <mergeCell ref="A2:C2"/>
    <mergeCell ref="A14:C14"/>
    <mergeCell ref="C26:C29"/>
    <mergeCell ref="B24:C24"/>
    <mergeCell ref="B22:C22"/>
    <mergeCell ref="B20:C20"/>
    <mergeCell ref="B18:C18"/>
    <mergeCell ref="B16:C16"/>
    <mergeCell ref="B11:C11"/>
    <mergeCell ref="B10:C10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E88B-747D-9041-86CA-C549C5044782}">
  <dimension ref="A1:B11"/>
  <sheetViews>
    <sheetView workbookViewId="0">
      <selection sqref="A1:B11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1" spans="1:2" x14ac:dyDescent="0.2">
      <c r="A1" s="58" t="s">
        <v>113</v>
      </c>
      <c r="B1" s="59"/>
    </row>
    <row r="2" spans="1:2" s="33" customFormat="1" ht="20" customHeight="1" x14ac:dyDescent="0.2">
      <c r="A2" s="51" t="s">
        <v>101</v>
      </c>
      <c r="B2" s="53" t="s">
        <v>102</v>
      </c>
    </row>
    <row r="3" spans="1:2" s="33" customFormat="1" ht="20" customHeight="1" x14ac:dyDescent="0.2">
      <c r="A3" s="52" t="s">
        <v>6</v>
      </c>
      <c r="B3" s="56" t="s">
        <v>103</v>
      </c>
    </row>
    <row r="4" spans="1:2" s="33" customFormat="1" ht="20" customHeight="1" x14ac:dyDescent="0.2">
      <c r="A4" s="52" t="s">
        <v>104</v>
      </c>
      <c r="B4" s="54">
        <v>46230</v>
      </c>
    </row>
    <row r="5" spans="1:2" s="33" customFormat="1" ht="20" customHeight="1" x14ac:dyDescent="0.2">
      <c r="A5" s="52" t="s">
        <v>105</v>
      </c>
      <c r="B5" s="56" t="s">
        <v>125</v>
      </c>
    </row>
    <row r="6" spans="1:2" s="33" customFormat="1" ht="20" customHeight="1" x14ac:dyDescent="0.2">
      <c r="A6" s="52" t="s">
        <v>106</v>
      </c>
      <c r="B6" s="56" t="s">
        <v>116</v>
      </c>
    </row>
    <row r="7" spans="1:2" s="33" customFormat="1" ht="20" customHeight="1" x14ac:dyDescent="0.2">
      <c r="A7" s="52" t="s">
        <v>112</v>
      </c>
      <c r="B7" s="56">
        <v>141</v>
      </c>
    </row>
    <row r="8" spans="1:2" s="33" customFormat="1" ht="20" customHeight="1" x14ac:dyDescent="0.2">
      <c r="A8" s="52" t="s">
        <v>73</v>
      </c>
      <c r="B8" s="55">
        <v>8362181.3700000001</v>
      </c>
    </row>
    <row r="9" spans="1:2" s="33" customFormat="1" ht="20" customHeight="1" x14ac:dyDescent="0.2">
      <c r="A9" s="52" t="s">
        <v>107</v>
      </c>
      <c r="B9" s="56" t="s">
        <v>108</v>
      </c>
    </row>
    <row r="10" spans="1:2" s="33" customFormat="1" ht="41" customHeight="1" x14ac:dyDescent="0.2">
      <c r="A10" s="52" t="s">
        <v>109</v>
      </c>
      <c r="B10" s="56" t="s">
        <v>114</v>
      </c>
    </row>
    <row r="11" spans="1:2" s="33" customFormat="1" ht="20" customHeight="1" x14ac:dyDescent="0.2">
      <c r="A11" s="52" t="s">
        <v>110</v>
      </c>
      <c r="B11" s="56" t="s">
        <v>111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f7f4e79-e3ee-400b-8307-611f3048039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CAD43DEBE5F94985BAF5880255A369" ma:contentTypeVersion="17" ma:contentTypeDescription="Create a new document." ma:contentTypeScope="" ma:versionID="2fb35b598400d5f193579b3bf1feff08">
  <xsd:schema xmlns:xsd="http://www.w3.org/2001/XMLSchema" xmlns:xs="http://www.w3.org/2001/XMLSchema" xmlns:p="http://schemas.microsoft.com/office/2006/metadata/properties" xmlns:ns3="5a6c962e-89a5-491f-bc13-c4fa6b6d71f2" xmlns:ns4="8f7f4e79-e3ee-400b-8307-611f30480393" targetNamespace="http://schemas.microsoft.com/office/2006/metadata/properties" ma:root="true" ma:fieldsID="8bbe51196fddd356df0d3ff3527ead97" ns3:_="" ns4:_="">
    <xsd:import namespace="5a6c962e-89a5-491f-bc13-c4fa6b6d71f2"/>
    <xsd:import namespace="8f7f4e79-e3ee-400b-8307-611f3048039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DateTaken" minOccurs="0"/>
                <xsd:element ref="ns4:MediaServiceObjectDetectorVersions" minOccurs="0"/>
                <xsd:element ref="ns4:MediaServiceSystemTags" minOccurs="0"/>
                <xsd:element ref="ns4:MediaLengthInSeconds" minOccurs="0"/>
                <xsd:element ref="ns4:MediaServiceSearchProperties" minOccurs="0"/>
                <xsd:element ref="ns4:MediaServiceBillingMetadata" minOccurs="0"/>
                <xsd:element ref="ns4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6c962e-89a5-491f-bc13-c4fa6b6d71f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7f4e79-e3ee-400b-8307-611f304803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8326D6-065C-406F-8763-8F7641131D26}">
  <ds:schemaRefs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5a6c962e-89a5-491f-bc13-c4fa6b6d71f2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8f7f4e79-e3ee-400b-8307-611f30480393"/>
  </ds:schemaRefs>
</ds:datastoreItem>
</file>

<file path=customXml/itemProps2.xml><?xml version="1.0" encoding="utf-8"?>
<ds:datastoreItem xmlns:ds="http://schemas.openxmlformats.org/officeDocument/2006/customXml" ds:itemID="{A4ACE698-005D-404B-9AED-9E97E91093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42BADD-DE89-47D9-B611-88F6E4A2D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6c962e-89a5-491f-bc13-c4fa6b6d71f2"/>
    <ds:schemaRef ds:uri="8f7f4e79-e3ee-400b-8307-611f304803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ba98965-3a24-460d-b0e1-6f272f1d0f46}" enabled="1" method="Privileged" siteId="{85b28421-d45a-4b07-889d-24b528c7f25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Fluxo de pagamentos</vt:lpstr>
      <vt:lpstr>Resumo Fluxo de Pagamentos</vt:lpstr>
      <vt:lpstr>Escrow e IT Serviços</vt:lpstr>
      <vt:lpstr>Variação Monetária Telecom</vt:lpstr>
      <vt:lpstr>Variação Monetária Serviços</vt:lpstr>
      <vt:lpstr>Suporte Técnico N3 Serviços</vt:lpstr>
      <vt:lpstr>FTTx Onitel Telecom</vt:lpstr>
      <vt:lpstr>Setup Onitel Serviços</vt:lpstr>
      <vt:lpstr>Imobilizado Onitel Telecom</vt:lpstr>
      <vt:lpstr>Carteira Conta Or Onitel Serviç</vt:lpstr>
      <vt:lpstr>Carteira Escrow Onitel Serviços</vt:lpstr>
      <vt:lpstr>Carteira BB Onitel Serviços</vt:lpstr>
      <vt:lpstr>Carteira Escrow Onitel Telecom </vt:lpstr>
      <vt:lpstr>Carteira Conta e Ordem Telecom</vt:lpstr>
      <vt:lpstr>Carteira BB Onitel Telecom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Barros</dc:creator>
  <cp:lastModifiedBy>Silvio Antonio de Castro</cp:lastModifiedBy>
  <dcterms:created xsi:type="dcterms:W3CDTF">2026-07-15T17:31:52Z</dcterms:created>
  <dcterms:modified xsi:type="dcterms:W3CDTF">2026-08-07T18:03:01Z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0x0101009BCAD43DEBE5F94985BAF5880255A369</vt:lpwstr>
  </property>
</Properties>
</file>